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1600" windowHeight="9675"/>
  </bookViews>
  <sheets>
    <sheet name="明细" sheetId="1" r:id="rId1"/>
    <sheet name="省份汇总" sheetId="6" state="hidden" r:id="rId2"/>
    <sheet name="Sheet4" sheetId="5" state="hidden" r:id="rId3"/>
  </sheets>
  <definedNames>
    <definedName name="_xlnm._FilterDatabase" localSheetId="2" hidden="1">Sheet4!$A$4:$H$148</definedName>
    <definedName name="_xlnm._FilterDatabase" localSheetId="0" hidden="1">明细!$A$1:$AO$5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<sst xmlns="http://schemas.openxmlformats.org/spreadsheetml/2006/main" count="243" uniqueCount="90">
  <si>
    <t>link</t>
  </si>
  <si>
    <t>部门</t>
  </si>
  <si>
    <t>大区</t>
  </si>
  <si>
    <t>省</t>
  </si>
  <si>
    <t>18粒</t>
  </si>
  <si>
    <t>27粒</t>
  </si>
  <si>
    <t>36粒</t>
  </si>
  <si>
    <t>54粒</t>
  </si>
  <si>
    <t>72粒</t>
  </si>
  <si>
    <t>81S</t>
  </si>
  <si>
    <t>108S</t>
  </si>
  <si>
    <t>135S</t>
  </si>
  <si>
    <t>270S</t>
  </si>
  <si>
    <t>总计
乌灵胶囊</t>
  </si>
  <si>
    <t>30S</t>
  </si>
  <si>
    <t>45S</t>
  </si>
  <si>
    <t>60S</t>
  </si>
  <si>
    <t>75S</t>
  </si>
  <si>
    <t>90S</t>
  </si>
  <si>
    <t>150S</t>
  </si>
  <si>
    <t>百令片</t>
  </si>
  <si>
    <t>24P</t>
  </si>
  <si>
    <t>48P</t>
  </si>
  <si>
    <t>灵泽片</t>
  </si>
  <si>
    <t>聚卡12</t>
  </si>
  <si>
    <t>聚卡18</t>
  </si>
  <si>
    <t>聚卡24</t>
  </si>
  <si>
    <t>聚卡波非钙片</t>
  </si>
  <si>
    <t>百令胶囊48</t>
  </si>
  <si>
    <t>百令胶囊72</t>
  </si>
  <si>
    <t>百令胶囊84</t>
  </si>
  <si>
    <t>百令胶囊96</t>
  </si>
  <si>
    <t>百令胶囊</t>
  </si>
  <si>
    <t>灵莲花8S</t>
  </si>
  <si>
    <t>灵莲花14S</t>
  </si>
  <si>
    <t>灵莲花颗粒</t>
  </si>
  <si>
    <t>月份</t>
  </si>
  <si>
    <t>销售二部</t>
  </si>
  <si>
    <t>北京市</t>
  </si>
  <si>
    <t>2月</t>
  </si>
  <si>
    <t>黄琴琴</t>
  </si>
  <si>
    <t>河北销量放北京</t>
  </si>
  <si>
    <t>销售五部</t>
  </si>
  <si>
    <t>河南省</t>
  </si>
  <si>
    <t>甘肃省</t>
  </si>
  <si>
    <t>陕西省</t>
  </si>
  <si>
    <t>(多项)</t>
  </si>
  <si>
    <t>求和项:乌灵胶囊</t>
  </si>
  <si>
    <t>求和项:百令片</t>
  </si>
  <si>
    <t>求和项:灵泽片</t>
  </si>
  <si>
    <t>求和项:百令胶囊</t>
  </si>
  <si>
    <t>销售一部</t>
  </si>
  <si>
    <t>安徽省</t>
  </si>
  <si>
    <t>河北省</t>
  </si>
  <si>
    <t>黑龙江省</t>
  </si>
  <si>
    <t>湖北省</t>
  </si>
  <si>
    <t>吉林省</t>
  </si>
  <si>
    <t>江苏省</t>
  </si>
  <si>
    <t>江西省</t>
  </si>
  <si>
    <t>辽宁省</t>
  </si>
  <si>
    <t>山东省</t>
  </si>
  <si>
    <t>山西省</t>
  </si>
  <si>
    <t>四川省</t>
  </si>
  <si>
    <t>天津市</t>
  </si>
  <si>
    <t>云南省</t>
  </si>
  <si>
    <t>重庆市</t>
  </si>
  <si>
    <t>销售三部</t>
  </si>
  <si>
    <t>福建省</t>
  </si>
  <si>
    <t>浙江省</t>
  </si>
  <si>
    <t>销售四部</t>
  </si>
  <si>
    <t>广东省</t>
  </si>
  <si>
    <t>海南省</t>
  </si>
  <si>
    <t>代理事业部</t>
  </si>
  <si>
    <t>湖南省</t>
  </si>
  <si>
    <t>贵州省</t>
  </si>
  <si>
    <t>青海省</t>
  </si>
  <si>
    <t>广西壮族自治区</t>
  </si>
  <si>
    <t>内蒙古自治区</t>
  </si>
  <si>
    <t>西藏自治区</t>
  </si>
  <si>
    <t>宁夏回族自治区</t>
  </si>
  <si>
    <t>新疆维吾尔自治区</t>
  </si>
  <si>
    <t>OTC</t>
  </si>
  <si>
    <t>电商部</t>
  </si>
  <si>
    <t>营销总部</t>
  </si>
  <si>
    <t>商务部</t>
  </si>
  <si>
    <t>上海事业部</t>
  </si>
  <si>
    <t>3月</t>
  </si>
  <si>
    <t>4月</t>
  </si>
  <si>
    <t>1月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</si>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</sst>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方正姚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宋体"/>
      <charset val="134"/>
    </font>
    <font>
      <sz val="9"/>
      <color theme="1"/>
      <name val="方正姚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1" applyNumberFormat="1" applyFont="1">
      <alignment vertical="center"/>
    </xf>
    <xf numFmtId="0" fontId="0" fillId="0" borderId="0" xfId="1" applyNumberFormat="1" applyFont="1">
      <alignment vertical="center"/>
    </xf>
    <xf numFmtId="9" fontId="0" fillId="0" borderId="0" xfId="3" applyFo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1" applyNumberFormat="1" applyFont="1" applyFill="1" applyBorder="1" applyAlignment="1">
      <alignment horizontal="center" vertical="center" wrapText="1"/>
    </xf>
    <xf numFmtId="176" fontId="2" fillId="0" borderId="0" xfId="1" applyNumberFormat="1" applyFont="1" applyFill="1" applyBorder="1" applyAlignment="1">
      <alignment horizontal="center" vertical="center" wrapText="1"/>
    </xf>
    <xf numFmtId="0" fontId="2" fillId="2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1" applyNumberFormat="1" applyFont="1" applyAlignment="1">
      <alignment vertical="center" wrapText="1"/>
    </xf>
    <xf numFmtId="176" fontId="2" fillId="0" borderId="0" xfId="1" applyNumberFormat="1" applyFont="1" applyAlignment="1">
      <alignment vertical="center" wrapText="1"/>
    </xf>
    <xf numFmtId="9" fontId="2" fillId="0" borderId="0" xfId="3" applyFont="1" applyAlignment="1">
      <alignment vertical="center" wrapText="1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1" applyNumberFormat="1" applyFont="1" applyFill="1" applyBorder="1" applyAlignment="1">
      <alignment horizontal="center" vertical="center"/>
    </xf>
    <xf numFmtId="0" fontId="6" fillId="2" borderId="0" xfId="1" applyNumberFormat="1" applyFont="1" applyFill="1" applyBorder="1">
      <alignment vertical="center"/>
    </xf>
    <xf numFmtId="0" fontId="5" fillId="0" borderId="0" xfId="1" applyNumberFormat="1" applyFont="1" applyFill="1" applyBorder="1">
      <alignment vertical="center"/>
    </xf>
    <xf numFmtId="0" fontId="7" fillId="0" borderId="0" xfId="1" applyNumberFormat="1" applyFont="1" applyFill="1" applyBorder="1">
      <alignment vertical="center"/>
    </xf>
    <xf numFmtId="0" fontId="6" fillId="0" borderId="0" xfId="1" applyNumberFormat="1" applyFont="1" applyFill="1" applyBorder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3" fillId="2" borderId="0" xfId="0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2" xfId="50"/>
  </cellStyles>
  <dxfs count="17">
    <dxf>
      <font>
        <name val="方正姚体"/>
        <scheme val="none"/>
      </font>
    </dxf>
    <dxf>
      <font>
        <name val="方正姚体"/>
        <scheme val="none"/>
      </font>
    </dxf>
    <dxf>
      <font>
        <name val="方正姚体"/>
        <scheme val="none"/>
      </font>
    </dxf>
    <dxf>
      <font>
        <name val="方正姚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6" formatCode="_ * #,##0_ ;_ * \-#,##0_ ;_ * &quot;-&quot;??_ ;_ @_ "/>
    </dxf>
    <dxf>
      <font>
        <name val="方正姚体"/>
        <scheme val="none"/>
      </font>
    </dxf>
    <dxf>
      <font>
        <name val="方正姚体"/>
        <scheme val="none"/>
      </font>
    </dxf>
    <dxf>
      <font>
        <name val="方正姚体"/>
        <scheme val="none"/>
      </font>
    </dxf>
    <dxf>
      <font>
        <name val="方正姚体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missingItemsLimit="0" refreshedDate="45818.8123209491" refreshedBy="Administrator" recordCount="1114">
  <cacheSource type="worksheet">
    <worksheetSource ref="A1:AK4" sheet="明细"/>
  </cacheSource>
  <cacheFields count="38">
    <cacheField name="link" numFmtId="0"/>
    <cacheField name="部门" numFmtId="0">
      <sharedItems count="11">
        <s v="代理事业部"/>
        <s v="销售一部"/>
        <s v="销售二部"/>
        <s v="销售三部"/>
        <s v="销售四部"/>
        <s v="销售五部"/>
        <s v="OTC"/>
        <s v="电商部"/>
        <s v="上海事业部"/>
        <s v="商务部"/>
        <s v="营销总部"/>
      </sharedItems>
      <fieldGroup par="37"/>
    </cacheField>
    <cacheField name="大区" numFmtId="0"/>
    <cacheField name="省" numFmtId="0">
      <sharedItems count="32">
        <s v="江苏省"/>
        <s v="山东省"/>
        <s v="陕西省"/>
        <s v="宁夏回族自治区"/>
        <s v="青海省"/>
        <s v="西藏自治区"/>
        <s v="新疆维吾尔自治区"/>
        <s v="安徽省"/>
        <s v="江西省"/>
        <s v="河北省"/>
        <s v="山西省"/>
        <s v="天津市"/>
        <s v="黑龙江省"/>
        <s v="辽宁省"/>
        <s v="吉林省"/>
        <s v="内蒙古自治区"/>
        <s v="湖北省"/>
        <s v="云南省"/>
        <s v="四川省"/>
        <s v="重庆市"/>
        <s v="贵州省"/>
        <s v="广西壮族自治区"/>
        <s v="湖南省"/>
        <s v="北京市"/>
        <s v="福建省"/>
        <s v="浙江省"/>
        <s v="广东省"/>
        <s v="海南省"/>
        <s v="甘肃省"/>
        <s v="河南省"/>
        <s v="电商"/>
        <s v="上海市"/>
      </sharedItems>
    </cacheField>
    <cacheField name="18粒" numFmtId="0"/>
    <cacheField name="27粒" numFmtId="0"/>
    <cacheField name="36粒" numFmtId="0"/>
    <cacheField name="54粒" numFmtId="0"/>
    <cacheField name="72粒" numFmtId="0"/>
    <cacheField name="81S" numFmtId="0"/>
    <cacheField name="108S" numFmtId="0"/>
    <cacheField name="135S" numFmtId="0"/>
    <cacheField name="270S" numFmtId="0"/>
    <cacheField name="乌灵胶囊" numFmtId="0"/>
    <cacheField name="30S" numFmtId="0"/>
    <cacheField name="45S" numFmtId="0"/>
    <cacheField name="60S" numFmtId="0"/>
    <cacheField name="75S" numFmtId="0"/>
    <cacheField name="90S" numFmtId="0"/>
    <cacheField name="150S" numFmtId="0"/>
    <cacheField name="百令片" numFmtId="0"/>
    <cacheField name="24P" numFmtId="0"/>
    <cacheField name="48P" numFmtId="0"/>
    <cacheField name="灵泽片" numFmtId="0"/>
    <cacheField name="聚卡12" numFmtId="0"/>
    <cacheField name="聚卡18" numFmtId="0"/>
    <cacheField name="聚卡24" numFmtId="0"/>
    <cacheField name="聚卡波非钙片" numFmtId="0"/>
    <cacheField name="百令胶囊48" numFmtId="0"/>
    <cacheField name="百令胶囊72" numFmtId="0"/>
    <cacheField name="百令胶囊84" numFmtId="0"/>
    <cacheField name="百令胶囊96" numFmtId="0"/>
    <cacheField name="百令胶囊" numFmtId="0"/>
    <cacheField name="灵莲花8S" numFmtId="0"/>
    <cacheField name="灵莲花14S" numFmtId="0"/>
    <cacheField name="灵莲花颗粒" numFmtId="0"/>
    <cacheField name="月份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部门2" numFmtId="0" databaseField="0">
      <fieldGroup base="1">
        <discretePr count="11">
          <x v="4"/>
          <x v="3"/>
          <x v="3"/>
          <x v="3"/>
          <x v="3"/>
          <x v="3"/>
          <x v="0"/>
          <x v="1"/>
          <x v="6"/>
          <x v="5"/>
          <x v="2"/>
        </discretePr>
        <groupItems count="7">
          <s v="OTC"/>
          <s v="电商部"/>
          <s v="营销总部"/>
          <s v="数据组1"/>
          <s v="数据组2"/>
          <s v="商务部"/>
          <s v="上海事业部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8" minRefreshableVersion="3" missingItemsLimit="0" refreshedDate="45819.4000614583" refreshedBy="Administrator" recordCount="280">
  <cacheSource type="worksheet">
    <worksheetSource ref="A1:AK1" sheet="明细"/>
  </cacheSource>
  <cacheFields count="38">
    <cacheField name="link" numFmtId="0"/>
    <cacheField name="部门" numFmtId="0">
      <sharedItems count="11">
        <s v="代理事业部"/>
        <s v="销售一部"/>
        <s v="销售二部"/>
        <s v="销售三部"/>
        <s v="销售四部"/>
        <s v="销售五部"/>
        <s v="OTC"/>
        <s v="电商部"/>
        <s v="上海事业部"/>
        <s v="商务部"/>
        <s v="营销总部"/>
      </sharedItems>
      <fieldGroup par="37"/>
    </cacheField>
    <cacheField name="大区" numFmtId="0"/>
    <cacheField name="省" numFmtId="0">
      <sharedItems count="32">
        <s v="江苏省"/>
        <s v="山东省"/>
        <s v="陕西省"/>
        <s v="宁夏回族自治区"/>
        <s v="青海省"/>
        <s v="西藏自治区"/>
        <s v="新疆维吾尔自治区"/>
        <s v="安徽省"/>
        <s v="江西省"/>
        <s v="河北省"/>
        <s v="山西省"/>
        <s v="天津市"/>
        <s v="黑龙江省"/>
        <s v="辽宁省"/>
        <s v="吉林省"/>
        <s v="内蒙古自治区"/>
        <s v="湖北省"/>
        <s v="云南省"/>
        <s v="四川省"/>
        <s v="重庆市"/>
        <s v="贵州省"/>
        <s v="广西壮族自治区"/>
        <s v="湖南省"/>
        <s v="北京市"/>
        <s v="福建省"/>
        <s v="浙江省"/>
        <s v="广东省"/>
        <s v="海南省"/>
        <s v="甘肃省"/>
        <s v="河南省"/>
        <s v="电商"/>
        <s v="上海市"/>
      </sharedItems>
    </cacheField>
    <cacheField name="18粒" numFmtId="0"/>
    <cacheField name="27粒" numFmtId="0"/>
    <cacheField name="36粒" numFmtId="0"/>
    <cacheField name="54粒" numFmtId="0"/>
    <cacheField name="72粒" numFmtId="0"/>
    <cacheField name="81S" numFmtId="0"/>
    <cacheField name="108S" numFmtId="0"/>
    <cacheField name="135S" numFmtId="0"/>
    <cacheField name="270S" numFmtId="0"/>
    <cacheField name="乌灵胶囊" numFmtId="0"/>
    <cacheField name="30S" numFmtId="0"/>
    <cacheField name="45S" numFmtId="0"/>
    <cacheField name="60S" numFmtId="0"/>
    <cacheField name="75S" numFmtId="0"/>
    <cacheField name="90S" numFmtId="0"/>
    <cacheField name="150S" numFmtId="0"/>
    <cacheField name="百令片" numFmtId="0"/>
    <cacheField name="24P" numFmtId="0"/>
    <cacheField name="48P" numFmtId="0"/>
    <cacheField name="灵泽片" numFmtId="0"/>
    <cacheField name="聚卡12" numFmtId="0"/>
    <cacheField name="聚卡18" numFmtId="0"/>
    <cacheField name="聚卡24" numFmtId="0"/>
    <cacheField name="聚卡波非钙片" numFmtId="0"/>
    <cacheField name="百令胶囊48" numFmtId="0"/>
    <cacheField name="百令胶囊72" numFmtId="0"/>
    <cacheField name="百令胶囊84" numFmtId="0"/>
    <cacheField name="百令胶囊96" numFmtId="0"/>
    <cacheField name="百令胶囊" numFmtId="0"/>
    <cacheField name="灵莲花8S" numFmtId="0"/>
    <cacheField name="灵莲花14S" numFmtId="0"/>
    <cacheField name="灵莲花颗粒" numFmtId="0"/>
    <cacheField name="月份" numFmtId="0">
      <sharedItems count="4">
        <s v="1月"/>
        <s v="2月"/>
        <s v="3月"/>
        <s v="4月"/>
      </sharedItems>
    </cacheField>
    <cacheField name="部门2" numFmtId="0" databaseField="0">
      <fieldGroup base="1">
        <discretePr count="11">
          <x v="4"/>
          <x v="3"/>
          <x v="3"/>
          <x v="3"/>
          <x v="3"/>
          <x v="3"/>
          <x v="0"/>
          <x v="1"/>
          <x v="6"/>
          <x v="5"/>
          <x v="2"/>
        </discretePr>
        <groupItems count="7">
          <s v="OTC"/>
          <s v="电商部"/>
          <s v="营销总部"/>
          <s v="数据组1"/>
          <s v="数据组2"/>
          <s v="商务部"/>
          <s v="上海事业部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4">
  <r>
    <s v="代理事业部江苏省"/>
    <x v="0"/>
    <s v="招商1区"/>
    <x v="0"/>
    <n v="0"/>
    <n v="0"/>
    <n v="7422"/>
    <n v="91352"/>
    <n v="0"/>
    <n v="0"/>
    <n v="0"/>
    <n v="3864"/>
    <n v="0"/>
    <n v="158940"/>
    <n v="0"/>
    <n v="0"/>
    <n v="0"/>
    <n v="279"/>
    <n v="17295"/>
    <n v="35221"/>
    <n v="114343.75"/>
    <n v="0"/>
    <n v="28325"/>
    <n v="28325"/>
    <n v="0"/>
    <n v="0"/>
    <n v="0"/>
    <n v="0"/>
    <n v="0"/>
    <n v="810"/>
    <n v="0"/>
    <n v="0"/>
    <n v="810"/>
    <n v="0"/>
    <n v="0"/>
    <n v="0"/>
    <x v="0"/>
  </r>
  <r>
    <s v="代理事业部山东省"/>
    <x v="0"/>
    <s v="招商2区"/>
    <x v="1"/>
    <n v="0"/>
    <n v="0"/>
    <n v="82297"/>
    <n v="20"/>
    <n v="0"/>
    <n v="0"/>
    <n v="0"/>
    <n v="0"/>
    <n v="0"/>
    <n v="82327"/>
    <n v="0"/>
    <n v="0"/>
    <n v="3380"/>
    <n v="0"/>
    <n v="39915"/>
    <n v="4060"/>
    <n v="73402.5"/>
    <n v="1760"/>
    <n v="4720"/>
    <n v="5600"/>
    <n v="0"/>
    <n v="0"/>
    <n v="0"/>
    <n v="0"/>
    <n v="0"/>
    <n v="965"/>
    <n v="0"/>
    <n v="0"/>
    <n v="965"/>
    <n v="0"/>
    <n v="0"/>
    <n v="0"/>
    <x v="0"/>
  </r>
  <r>
    <s v="代理事业部陕西省"/>
    <x v="0"/>
    <s v="招商2区"/>
    <x v="2"/>
    <n v="0"/>
    <n v="0"/>
    <n v="1149"/>
    <n v="12711"/>
    <n v="0"/>
    <n v="4480"/>
    <n v="0"/>
    <n v="0"/>
    <n v="0"/>
    <n v="30295.5"/>
    <n v="0"/>
    <n v="0"/>
    <n v="0"/>
    <n v="0"/>
    <n v="0"/>
    <n v="0"/>
    <n v="0"/>
    <n v="0"/>
    <n v="4040"/>
    <n v="4040"/>
    <n v="0"/>
    <n v="0"/>
    <n v="0"/>
    <n v="0"/>
    <n v="0"/>
    <n v="0"/>
    <n v="0"/>
    <n v="0"/>
    <n v="0"/>
    <n v="0"/>
    <n v="0"/>
    <n v="0"/>
    <x v="0"/>
  </r>
  <r>
    <s v="代理事业部宁夏回族自治区"/>
    <x v="0"/>
    <s v="招商2区"/>
    <x v="3"/>
    <n v="0"/>
    <n v="0"/>
    <n v="905"/>
    <n v="8744"/>
    <n v="0"/>
    <n v="0"/>
    <n v="0"/>
    <n v="0"/>
    <n v="0"/>
    <n v="14021"/>
    <n v="0"/>
    <n v="0"/>
    <n v="0"/>
    <n v="0"/>
    <n v="0"/>
    <n v="0"/>
    <n v="0"/>
    <n v="0"/>
    <n v="360"/>
    <n v="360"/>
    <n v="0"/>
    <n v="0"/>
    <n v="0"/>
    <n v="0"/>
    <n v="0"/>
    <n v="0"/>
    <n v="0"/>
    <n v="0"/>
    <n v="0"/>
    <n v="0"/>
    <n v="0"/>
    <n v="0"/>
    <x v="0"/>
  </r>
  <r>
    <s v="代理事业部青海省"/>
    <x v="0"/>
    <s v="招商2区"/>
    <x v="4"/>
    <n v="0"/>
    <n v="0"/>
    <n v="0"/>
    <n v="3934"/>
    <n v="0"/>
    <n v="0"/>
    <n v="0"/>
    <n v="0"/>
    <n v="0"/>
    <n v="5901"/>
    <n v="0"/>
    <n v="0"/>
    <n v="467"/>
    <n v="0"/>
    <n v="0"/>
    <n v="780"/>
    <n v="2417"/>
    <n v="0"/>
    <n v="2920"/>
    <n v="2920"/>
    <n v="110"/>
    <n v="0"/>
    <n v="0"/>
    <n v="110"/>
    <n v="0"/>
    <n v="0"/>
    <n v="0"/>
    <n v="0"/>
    <n v="0"/>
    <n v="0"/>
    <n v="0"/>
    <n v="0"/>
    <x v="0"/>
  </r>
  <r>
    <s v="代理事业部西藏自治区"/>
    <x v="0"/>
    <s v="招商6区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代理事业部新疆维吾尔自治区"/>
    <x v="0"/>
    <s v="招商2区"/>
    <x v="6"/>
    <n v="0"/>
    <n v="0"/>
    <n v="4048"/>
    <n v="8316"/>
    <n v="0"/>
    <n v="7153"/>
    <n v="0"/>
    <n v="0"/>
    <n v="0"/>
    <n v="32616.25"/>
    <n v="0"/>
    <n v="0"/>
    <n v="573"/>
    <n v="0"/>
    <n v="0"/>
    <n v="0"/>
    <n v="573"/>
    <n v="0"/>
    <n v="6668"/>
    <n v="6668"/>
    <n v="0"/>
    <n v="0"/>
    <n v="0"/>
    <n v="0"/>
    <n v="0"/>
    <n v="0"/>
    <n v="0"/>
    <n v="0"/>
    <n v="0"/>
    <n v="0"/>
    <n v="0"/>
    <n v="0"/>
    <x v="0"/>
  </r>
  <r>
    <s v="代理事业部安徽省"/>
    <x v="0"/>
    <s v="招商3区"/>
    <x v="7"/>
    <n v="0"/>
    <n v="0"/>
    <n v="7492"/>
    <n v="17560"/>
    <n v="0"/>
    <n v="0"/>
    <n v="0"/>
    <n v="0"/>
    <n v="0"/>
    <n v="33832"/>
    <n v="240"/>
    <n v="0"/>
    <n v="12395"/>
    <n v="1020"/>
    <n v="7840"/>
    <n v="0"/>
    <n v="25550"/>
    <n v="0"/>
    <n v="2946"/>
    <n v="2946"/>
    <n v="0"/>
    <n v="0"/>
    <n v="0"/>
    <n v="0"/>
    <n v="0"/>
    <n v="300"/>
    <n v="0"/>
    <n v="0"/>
    <n v="300"/>
    <n v="0"/>
    <n v="0"/>
    <n v="0"/>
    <x v="0"/>
  </r>
  <r>
    <s v="代理事业部江西省"/>
    <x v="0"/>
    <s v="招商3区"/>
    <x v="8"/>
    <n v="0"/>
    <n v="0"/>
    <n v="-143"/>
    <n v="13837"/>
    <n v="0"/>
    <n v="1028"/>
    <n v="0"/>
    <n v="28"/>
    <n v="0"/>
    <n v="23030.5"/>
    <n v="0"/>
    <n v="0"/>
    <n v="100"/>
    <n v="940"/>
    <n v="0"/>
    <n v="0"/>
    <n v="1275"/>
    <n v="0"/>
    <n v="13715"/>
    <n v="13715"/>
    <n v="0"/>
    <n v="0"/>
    <n v="0"/>
    <n v="0"/>
    <n v="0"/>
    <n v="1100"/>
    <n v="0"/>
    <n v="0"/>
    <n v="1100"/>
    <n v="0"/>
    <n v="0"/>
    <n v="0"/>
    <x v="0"/>
  </r>
  <r>
    <s v="代理事业部河北省"/>
    <x v="0"/>
    <s v="招商3区"/>
    <x v="9"/>
    <n v="0"/>
    <n v="0"/>
    <n v="-5"/>
    <n v="59945"/>
    <n v="0"/>
    <n v="0"/>
    <n v="0"/>
    <n v="0"/>
    <n v="0"/>
    <n v="89912.5"/>
    <n v="0"/>
    <n v="0"/>
    <n v="420"/>
    <n v="0"/>
    <n v="0"/>
    <n v="0"/>
    <n v="420"/>
    <n v="0"/>
    <n v="12721"/>
    <n v="12721"/>
    <n v="130"/>
    <n v="0"/>
    <n v="0"/>
    <n v="130"/>
    <n v="0"/>
    <n v="0"/>
    <n v="0"/>
    <n v="0"/>
    <n v="0"/>
    <n v="0"/>
    <n v="0"/>
    <n v="0"/>
    <x v="0"/>
  </r>
  <r>
    <s v="代理事业部山西省"/>
    <x v="0"/>
    <s v="招商3区"/>
    <x v="10"/>
    <n v="0"/>
    <n v="0"/>
    <n v="0"/>
    <n v="20826"/>
    <n v="0"/>
    <n v="0"/>
    <n v="0"/>
    <n v="0"/>
    <n v="0"/>
    <n v="31239"/>
    <n v="0"/>
    <n v="0"/>
    <n v="13534"/>
    <n v="0"/>
    <n v="1197"/>
    <n v="0"/>
    <n v="15329.5"/>
    <n v="0"/>
    <n v="941"/>
    <n v="941"/>
    <n v="50"/>
    <n v="0"/>
    <n v="0"/>
    <n v="50"/>
    <n v="0"/>
    <n v="25"/>
    <n v="0"/>
    <n v="0"/>
    <n v="25"/>
    <n v="0"/>
    <n v="0"/>
    <n v="0"/>
    <x v="0"/>
  </r>
  <r>
    <s v="代理事业部天津市"/>
    <x v="0"/>
    <s v="招商3区"/>
    <x v="11"/>
    <n v="0"/>
    <n v="0"/>
    <n v="60"/>
    <n v="15584"/>
    <n v="0"/>
    <n v="4823"/>
    <n v="0"/>
    <n v="70"/>
    <n v="0"/>
    <n v="34550.25"/>
    <n v="0"/>
    <n v="0"/>
    <n v="1334"/>
    <n v="0"/>
    <n v="1149"/>
    <n v="100"/>
    <n v="3307.5"/>
    <n v="0"/>
    <n v="4457"/>
    <n v="4457"/>
    <n v="10"/>
    <n v="0"/>
    <n v="0"/>
    <n v="10"/>
    <n v="0"/>
    <n v="0"/>
    <n v="0"/>
    <n v="0"/>
    <n v="0"/>
    <n v="0"/>
    <n v="0"/>
    <n v="0"/>
    <x v="0"/>
  </r>
  <r>
    <s v="代理事业部黑龙江省"/>
    <x v="0"/>
    <s v="招商4区"/>
    <x v="12"/>
    <n v="10"/>
    <n v="0"/>
    <n v="320"/>
    <n v="10652"/>
    <n v="0"/>
    <n v="2110"/>
    <n v="0"/>
    <n v="672"/>
    <n v="0"/>
    <n v="23570.5"/>
    <n v="0"/>
    <n v="0"/>
    <n v="550"/>
    <n v="0"/>
    <n v="640"/>
    <n v="8060"/>
    <n v="21660"/>
    <n v="0"/>
    <n v="1799"/>
    <n v="1799"/>
    <n v="0"/>
    <n v="0"/>
    <n v="0"/>
    <n v="0"/>
    <n v="0"/>
    <n v="0"/>
    <n v="0"/>
    <n v="0"/>
    <n v="0"/>
    <n v="0"/>
    <n v="0"/>
    <n v="0"/>
    <x v="0"/>
  </r>
  <r>
    <s v="代理事业部辽宁省"/>
    <x v="0"/>
    <s v="招商4区"/>
    <x v="13"/>
    <n v="0"/>
    <n v="0"/>
    <n v="368"/>
    <n v="35278"/>
    <n v="0"/>
    <n v="4232"/>
    <n v="0"/>
    <n v="96"/>
    <n v="0"/>
    <n v="63167"/>
    <n v="0"/>
    <n v="0"/>
    <n v="75"/>
    <n v="40"/>
    <n v="0"/>
    <n v="0"/>
    <n v="125"/>
    <n v="0"/>
    <n v="2620"/>
    <n v="2620"/>
    <n v="0"/>
    <n v="0"/>
    <n v="0"/>
    <n v="0"/>
    <n v="0"/>
    <n v="0"/>
    <n v="0"/>
    <n v="0"/>
    <n v="0"/>
    <n v="0"/>
    <n v="0"/>
    <n v="0"/>
    <x v="0"/>
  </r>
  <r>
    <s v="代理事业部吉林省"/>
    <x v="0"/>
    <s v="招商4区"/>
    <x v="14"/>
    <n v="0"/>
    <n v="0"/>
    <n v="145"/>
    <n v="9436"/>
    <n v="0"/>
    <n v="1585"/>
    <n v="0"/>
    <n v="146"/>
    <n v="0"/>
    <n v="18412.75"/>
    <n v="-64"/>
    <n v="0"/>
    <n v="0"/>
    <n v="0"/>
    <n v="880"/>
    <n v="50"/>
    <n v="1413"/>
    <n v="0"/>
    <n v="130"/>
    <n v="130"/>
    <n v="0"/>
    <n v="0"/>
    <n v="0"/>
    <n v="0"/>
    <n v="0"/>
    <n v="0"/>
    <n v="0"/>
    <n v="0"/>
    <n v="0"/>
    <n v="0"/>
    <n v="0"/>
    <n v="0"/>
    <x v="0"/>
  </r>
  <r>
    <s v="代理事业部内蒙古自治区"/>
    <x v="0"/>
    <s v="招商4区"/>
    <x v="15"/>
    <n v="0"/>
    <n v="0"/>
    <n v="953"/>
    <n v="17051"/>
    <n v="0"/>
    <n v="0"/>
    <n v="0"/>
    <n v="0"/>
    <n v="0"/>
    <n v="26529.5"/>
    <n v="0"/>
    <n v="0"/>
    <n v="0"/>
    <n v="0"/>
    <n v="0"/>
    <n v="0"/>
    <n v="0"/>
    <n v="0"/>
    <n v="1345"/>
    <n v="1345"/>
    <n v="430"/>
    <n v="0"/>
    <n v="0"/>
    <n v="430"/>
    <n v="0"/>
    <n v="0"/>
    <n v="0"/>
    <n v="0"/>
    <n v="0"/>
    <n v="0"/>
    <n v="0"/>
    <n v="0"/>
    <x v="0"/>
  </r>
  <r>
    <s v="代理事业部湖北省"/>
    <x v="0"/>
    <s v="招商5区"/>
    <x v="16"/>
    <n v="0"/>
    <n v="0"/>
    <n v="36716"/>
    <n v="3895"/>
    <n v="0"/>
    <n v="0"/>
    <n v="0"/>
    <n v="0"/>
    <n v="0"/>
    <n v="42558.5"/>
    <n v="0"/>
    <n v="0"/>
    <n v="919"/>
    <n v="0"/>
    <n v="0"/>
    <n v="0"/>
    <n v="919"/>
    <n v="0"/>
    <n v="32590"/>
    <n v="32590"/>
    <n v="680"/>
    <n v="0"/>
    <n v="0"/>
    <n v="680"/>
    <n v="0"/>
    <n v="0"/>
    <n v="0"/>
    <n v="0"/>
    <n v="0"/>
    <n v="0"/>
    <n v="0"/>
    <n v="0"/>
    <x v="0"/>
  </r>
  <r>
    <s v="代理事业部云南省"/>
    <x v="0"/>
    <s v="招商5区"/>
    <x v="17"/>
    <n v="0"/>
    <n v="0"/>
    <n v="45"/>
    <n v="14460"/>
    <n v="0"/>
    <n v="0"/>
    <n v="0"/>
    <n v="11"/>
    <n v="0"/>
    <n v="21776.25"/>
    <n v="7905"/>
    <n v="0"/>
    <n v="12055"/>
    <n v="786"/>
    <n v="2582"/>
    <n v="0"/>
    <n v="20863"/>
    <n v="0"/>
    <n v="526"/>
    <n v="526"/>
    <n v="0"/>
    <n v="0"/>
    <n v="0"/>
    <n v="0"/>
    <n v="0"/>
    <n v="0"/>
    <n v="0"/>
    <n v="0"/>
    <n v="0"/>
    <n v="0"/>
    <n v="0"/>
    <n v="0"/>
    <x v="0"/>
  </r>
  <r>
    <s v="代理事业部四川省"/>
    <x v="0"/>
    <s v="招商6区"/>
    <x v="18"/>
    <n v="0"/>
    <n v="0"/>
    <n v="61201"/>
    <n v="4270"/>
    <n v="0"/>
    <n v="0"/>
    <n v="0"/>
    <n v="0"/>
    <n v="0"/>
    <n v="67606"/>
    <n v="0"/>
    <n v="0"/>
    <n v="3999"/>
    <n v="0"/>
    <n v="0"/>
    <n v="0"/>
    <n v="3999"/>
    <n v="260"/>
    <n v="5425"/>
    <n v="5555"/>
    <n v="320"/>
    <n v="0"/>
    <n v="0"/>
    <n v="320"/>
    <n v="0"/>
    <n v="210"/>
    <n v="0"/>
    <n v="0"/>
    <n v="210"/>
    <n v="0"/>
    <n v="0"/>
    <n v="0"/>
    <x v="0"/>
  </r>
  <r>
    <s v="代理事业部重庆市"/>
    <x v="0"/>
    <s v="招商6区"/>
    <x v="19"/>
    <n v="0"/>
    <n v="0"/>
    <n v="3135"/>
    <n v="17036"/>
    <n v="0"/>
    <n v="255"/>
    <n v="0"/>
    <n v="0"/>
    <n v="0"/>
    <n v="29262.75"/>
    <n v="0"/>
    <n v="0"/>
    <n v="2258"/>
    <n v="0"/>
    <n v="0"/>
    <n v="0"/>
    <n v="2258"/>
    <n v="0"/>
    <n v="7540"/>
    <n v="7540"/>
    <n v="0"/>
    <n v="0"/>
    <n v="0"/>
    <n v="0"/>
    <n v="0"/>
    <n v="0"/>
    <n v="0"/>
    <n v="0"/>
    <n v="0"/>
    <n v="0"/>
    <n v="0"/>
    <n v="0"/>
    <x v="0"/>
  </r>
  <r>
    <s v="代理事业部贵州省"/>
    <x v="0"/>
    <s v="招商6区"/>
    <x v="20"/>
    <n v="0"/>
    <n v="0"/>
    <n v="20"/>
    <n v="3785"/>
    <n v="0"/>
    <n v="2975"/>
    <n v="0"/>
    <n v="960"/>
    <n v="0"/>
    <n v="15991.25"/>
    <n v="0"/>
    <n v="0"/>
    <n v="0"/>
    <n v="50"/>
    <n v="0"/>
    <n v="0"/>
    <n v="62.5"/>
    <n v="0"/>
    <n v="270"/>
    <n v="270"/>
    <n v="0"/>
    <n v="0"/>
    <n v="0"/>
    <n v="0"/>
    <n v="0"/>
    <n v="0"/>
    <n v="0"/>
    <n v="0"/>
    <n v="0"/>
    <n v="0"/>
    <n v="0"/>
    <n v="0"/>
    <x v="0"/>
  </r>
  <r>
    <s v="代理事业部广西壮族自治区"/>
    <x v="0"/>
    <s v="招商7区"/>
    <x v="21"/>
    <n v="0"/>
    <n v="0"/>
    <n v="0"/>
    <n v="24083"/>
    <n v="0"/>
    <n v="0"/>
    <n v="0"/>
    <n v="0"/>
    <n v="0"/>
    <n v="36124.5"/>
    <n v="0"/>
    <n v="0"/>
    <n v="14219"/>
    <n v="0"/>
    <n v="4058"/>
    <n v="0"/>
    <n v="20306"/>
    <n v="4823"/>
    <n v="0"/>
    <n v="2411.5"/>
    <n v="0"/>
    <n v="0"/>
    <n v="0"/>
    <n v="0"/>
    <n v="0"/>
    <n v="0"/>
    <n v="0"/>
    <n v="0"/>
    <n v="0"/>
    <n v="0"/>
    <n v="0"/>
    <n v="0"/>
    <x v="0"/>
  </r>
  <r>
    <s v="代理事业部湖南省"/>
    <x v="0"/>
    <s v="招商7区"/>
    <x v="22"/>
    <n v="0"/>
    <n v="0"/>
    <n v="0"/>
    <n v="24758"/>
    <n v="0"/>
    <n v="382"/>
    <n v="0"/>
    <n v="0"/>
    <n v="0"/>
    <n v="37996.5"/>
    <n v="0"/>
    <n v="0"/>
    <n v="2815"/>
    <n v="0"/>
    <n v="0"/>
    <n v="0"/>
    <n v="2815"/>
    <n v="0"/>
    <n v="6560"/>
    <n v="6560"/>
    <n v="25"/>
    <n v="0"/>
    <n v="0"/>
    <n v="25"/>
    <n v="0"/>
    <n v="0"/>
    <n v="0"/>
    <n v="0"/>
    <n v="0"/>
    <n v="0"/>
    <n v="0"/>
    <n v="0"/>
    <x v="0"/>
  </r>
  <r>
    <s v="销售一部河北省"/>
    <x v="1"/>
    <s v="华北大区"/>
    <x v="9"/>
    <n v="0"/>
    <n v="0"/>
    <n v="22"/>
    <n v="39340"/>
    <n v="0"/>
    <n v="0"/>
    <n v="0"/>
    <n v="0"/>
    <n v="0"/>
    <n v="59032"/>
    <n v="0"/>
    <n v="0"/>
    <n v="0"/>
    <n v="0"/>
    <n v="0"/>
    <n v="0"/>
    <n v="0"/>
    <n v="0"/>
    <n v="270"/>
    <n v="270"/>
    <n v="770"/>
    <n v="0"/>
    <n v="0"/>
    <n v="770"/>
    <n v="0"/>
    <n v="0"/>
    <n v="0"/>
    <n v="0"/>
    <n v="0"/>
    <n v="0"/>
    <n v="0"/>
    <n v="0"/>
    <x v="0"/>
  </r>
  <r>
    <s v="销售一部黑龙江省"/>
    <x v="1"/>
    <s v="华北大区"/>
    <x v="12"/>
    <n v="0"/>
    <n v="0"/>
    <n v="250"/>
    <n v="8120"/>
    <n v="0"/>
    <n v="4260"/>
    <n v="0"/>
    <n v="2736"/>
    <n v="0"/>
    <n v="32275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x v="0"/>
  </r>
  <r>
    <s v="销售一部吉林省"/>
    <x v="1"/>
    <s v="华北大区"/>
    <x v="14"/>
    <n v="0"/>
    <n v="0"/>
    <n v="66"/>
    <n v="0"/>
    <n v="0"/>
    <n v="400"/>
    <n v="0"/>
    <n v="4951"/>
    <n v="0"/>
    <n v="1953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辽宁省"/>
    <x v="1"/>
    <s v="华北大区"/>
    <x v="13"/>
    <n v="0"/>
    <n v="0"/>
    <n v="151"/>
    <n v="6610"/>
    <n v="0"/>
    <n v="1800"/>
    <n v="0"/>
    <n v="2162"/>
    <n v="0"/>
    <n v="2222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山东省"/>
    <x v="1"/>
    <s v="华北大区"/>
    <x v="1"/>
    <n v="0"/>
    <n v="0"/>
    <n v="15411"/>
    <n v="11840"/>
    <n v="0"/>
    <n v="0"/>
    <n v="0"/>
    <n v="0"/>
    <n v="0"/>
    <n v="33171"/>
    <n v="0"/>
    <n v="0"/>
    <n v="0"/>
    <n v="0"/>
    <n v="0"/>
    <n v="0"/>
    <n v="0"/>
    <n v="0"/>
    <n v="0"/>
    <n v="0"/>
    <n v="285"/>
    <n v="0"/>
    <n v="0"/>
    <n v="285"/>
    <n v="0"/>
    <n v="0"/>
    <n v="0"/>
    <n v="0"/>
    <n v="0"/>
    <n v="0"/>
    <n v="0"/>
    <n v="0"/>
    <x v="0"/>
  </r>
  <r>
    <s v="销售一部山西省"/>
    <x v="1"/>
    <s v="华北大区"/>
    <x v="10"/>
    <n v="0"/>
    <n v="0"/>
    <n v="0"/>
    <n v="1448"/>
    <n v="0"/>
    <n v="0"/>
    <n v="0"/>
    <n v="0"/>
    <n v="0"/>
    <n v="2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天津市"/>
    <x v="1"/>
    <s v="华北大区"/>
    <x v="11"/>
    <n v="0"/>
    <n v="0"/>
    <n v="5"/>
    <n v="8761"/>
    <n v="0"/>
    <n v="1260"/>
    <n v="0"/>
    <n v="116"/>
    <n v="0"/>
    <n v="1641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安徽省"/>
    <x v="1"/>
    <s v="华中大区"/>
    <x v="7"/>
    <n v="0"/>
    <n v="0"/>
    <n v="2328"/>
    <n v="3820"/>
    <n v="0"/>
    <n v="0"/>
    <n v="0"/>
    <n v="0"/>
    <n v="0"/>
    <n v="8058"/>
    <n v="0"/>
    <n v="0"/>
    <n v="0"/>
    <n v="0"/>
    <n v="0"/>
    <n v="0"/>
    <n v="0"/>
    <n v="0"/>
    <n v="0"/>
    <n v="0"/>
    <n v="305"/>
    <n v="0"/>
    <n v="0"/>
    <n v="305"/>
    <n v="0"/>
    <n v="0"/>
    <n v="0"/>
    <n v="0"/>
    <n v="0"/>
    <n v="0"/>
    <n v="0"/>
    <n v="0"/>
    <x v="0"/>
  </r>
  <r>
    <s v="销售一部湖北省"/>
    <x v="1"/>
    <s v="华中大区"/>
    <x v="16"/>
    <n v="0"/>
    <n v="0"/>
    <n v="18451"/>
    <n v="-50"/>
    <n v="0"/>
    <n v="0"/>
    <n v="0"/>
    <n v="0"/>
    <n v="0"/>
    <n v="18376"/>
    <n v="0"/>
    <n v="0"/>
    <n v="432"/>
    <n v="0"/>
    <n v="0"/>
    <n v="0"/>
    <n v="432"/>
    <n v="0"/>
    <n v="0"/>
    <n v="0"/>
    <n v="290"/>
    <n v="0"/>
    <n v="0"/>
    <n v="290"/>
    <n v="0"/>
    <n v="0"/>
    <n v="0"/>
    <n v="0"/>
    <n v="0"/>
    <n v="0"/>
    <n v="0"/>
    <n v="0"/>
    <x v="0"/>
  </r>
  <r>
    <s v="销售一部江西省"/>
    <x v="1"/>
    <s v="华中大区"/>
    <x v="8"/>
    <n v="0"/>
    <n v="0"/>
    <n v="15"/>
    <n v="1963"/>
    <n v="0"/>
    <n v="840"/>
    <n v="0"/>
    <n v="4686"/>
    <n v="0"/>
    <n v="22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江苏省"/>
    <x v="1"/>
    <s v="华中大区"/>
    <x v="0"/>
    <n v="0"/>
    <n v="0"/>
    <n v="380"/>
    <n v="35904"/>
    <n v="0"/>
    <n v="0"/>
    <n v="0"/>
    <n v="3439"/>
    <n v="0"/>
    <n v="67132.25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0"/>
  </r>
  <r>
    <s v="销售一部四川省"/>
    <x v="1"/>
    <s v="西南大区"/>
    <x v="18"/>
    <n v="0"/>
    <n v="0"/>
    <n v="12190"/>
    <n v="4440"/>
    <n v="0"/>
    <n v="0"/>
    <n v="0"/>
    <n v="0"/>
    <n v="0"/>
    <n v="18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云南省"/>
    <x v="1"/>
    <s v="西南大区"/>
    <x v="17"/>
    <n v="0"/>
    <n v="0"/>
    <n v="417"/>
    <n v="3775"/>
    <n v="0"/>
    <n v="0"/>
    <n v="0"/>
    <n v="2597"/>
    <n v="0"/>
    <n v="15818.25"/>
    <n v="0"/>
    <n v="0"/>
    <n v="0"/>
    <n v="0"/>
    <n v="0"/>
    <n v="0"/>
    <n v="0"/>
    <n v="0"/>
    <n v="5"/>
    <n v="5"/>
    <n v="280"/>
    <n v="0"/>
    <n v="0"/>
    <n v="280"/>
    <n v="0"/>
    <n v="0"/>
    <n v="0"/>
    <n v="0"/>
    <n v="0"/>
    <n v="0"/>
    <n v="0"/>
    <n v="0"/>
    <x v="0"/>
  </r>
  <r>
    <s v="销售一部重庆市"/>
    <x v="1"/>
    <s v="西南大区"/>
    <x v="19"/>
    <n v="0"/>
    <n v="0"/>
    <n v="47"/>
    <n v="4140"/>
    <n v="0"/>
    <n v="9420"/>
    <n v="0"/>
    <n v="528"/>
    <n v="0"/>
    <n v="29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二部北京市"/>
    <x v="2"/>
    <s v="销售二部"/>
    <x v="23"/>
    <n v="0"/>
    <n v="0"/>
    <n v="13"/>
    <n v="17045"/>
    <n v="0"/>
    <n v="0"/>
    <n v="0"/>
    <n v="141"/>
    <n v="34596"/>
    <n v="285579.25"/>
    <n v="0"/>
    <n v="0"/>
    <n v="0"/>
    <n v="2510"/>
    <n v="0"/>
    <n v="6736"/>
    <n v="19977.5"/>
    <n v="0"/>
    <n v="27410"/>
    <n v="27410"/>
    <n v="625"/>
    <n v="0"/>
    <n v="0"/>
    <n v="625"/>
    <n v="0"/>
    <n v="300"/>
    <n v="0"/>
    <n v="0"/>
    <n v="300"/>
    <n v="0"/>
    <n v="0"/>
    <n v="0"/>
    <x v="0"/>
  </r>
  <r>
    <s v="销售三部福建省"/>
    <x v="3"/>
    <s v="销售三部"/>
    <x v="24"/>
    <n v="0"/>
    <n v="68"/>
    <n v="0"/>
    <n v="45073"/>
    <n v="0"/>
    <n v="0"/>
    <n v="0"/>
    <n v="0"/>
    <n v="0"/>
    <n v="67660.5"/>
    <n v="0"/>
    <n v="0"/>
    <n v="0"/>
    <n v="0"/>
    <n v="0"/>
    <n v="0"/>
    <n v="0"/>
    <n v="0"/>
    <n v="0"/>
    <n v="0"/>
    <n v="60"/>
    <n v="0"/>
    <n v="0"/>
    <n v="60"/>
    <n v="0"/>
    <n v="0"/>
    <n v="0"/>
    <n v="0"/>
    <n v="0"/>
    <n v="0"/>
    <n v="0"/>
    <n v="0"/>
    <x v="0"/>
  </r>
  <r>
    <s v="销售三部浙江省"/>
    <x v="3"/>
    <s v="销售三部"/>
    <x v="25"/>
    <n v="15"/>
    <n v="489"/>
    <n v="332488"/>
    <n v="5280"/>
    <n v="0"/>
    <n v="0"/>
    <n v="0"/>
    <n v="0"/>
    <n v="0"/>
    <n v="340782.25"/>
    <n v="0"/>
    <n v="0"/>
    <n v="1349"/>
    <n v="0"/>
    <n v="137682"/>
    <n v="0"/>
    <n v="207872"/>
    <n v="0"/>
    <n v="26030"/>
    <n v="26030"/>
    <n v="31576"/>
    <n v="0"/>
    <n v="0"/>
    <n v="31576"/>
    <n v="0"/>
    <n v="30"/>
    <n v="0"/>
    <n v="0"/>
    <n v="30"/>
    <n v="0"/>
    <n v="0"/>
    <n v="0"/>
    <x v="0"/>
  </r>
  <r>
    <s v="销售四部广东省"/>
    <x v="4"/>
    <s v="销售四部"/>
    <x v="26"/>
    <n v="0"/>
    <n v="0"/>
    <n v="5827"/>
    <n v="273480"/>
    <n v="0"/>
    <n v="0"/>
    <n v="0"/>
    <n v="0"/>
    <n v="0"/>
    <n v="416047"/>
    <n v="0"/>
    <n v="0"/>
    <n v="3836"/>
    <n v="0"/>
    <n v="57572"/>
    <n v="5140"/>
    <n v="103044"/>
    <n v="0"/>
    <n v="53074"/>
    <n v="53074"/>
    <n v="2015"/>
    <n v="0"/>
    <n v="150"/>
    <n v="2315"/>
    <n v="0"/>
    <n v="140"/>
    <n v="0"/>
    <n v="0"/>
    <n v="140"/>
    <n v="0"/>
    <n v="0"/>
    <n v="0"/>
    <x v="0"/>
  </r>
  <r>
    <s v="销售四部海南省"/>
    <x v="4"/>
    <s v="销售四部"/>
    <x v="27"/>
    <n v="0"/>
    <n v="0"/>
    <n v="0"/>
    <n v="17146"/>
    <n v="0"/>
    <n v="0"/>
    <n v="0"/>
    <n v="0"/>
    <n v="0"/>
    <n v="25719"/>
    <n v="0"/>
    <n v="0"/>
    <n v="10164"/>
    <n v="0"/>
    <n v="0"/>
    <n v="0"/>
    <n v="10164"/>
    <n v="0"/>
    <n v="3347"/>
    <n v="3347"/>
    <n v="30"/>
    <n v="0"/>
    <n v="0"/>
    <n v="30"/>
    <n v="0"/>
    <n v="0"/>
    <n v="0"/>
    <n v="0"/>
    <n v="0"/>
    <n v="0"/>
    <n v="0"/>
    <n v="0"/>
    <x v="0"/>
  </r>
  <r>
    <s v="销售五部甘肃省"/>
    <x v="5"/>
    <s v="销售五部"/>
    <x v="28"/>
    <n v="0"/>
    <n v="0"/>
    <n v="20945"/>
    <n v="33835"/>
    <n v="0"/>
    <n v="0"/>
    <n v="0"/>
    <n v="0"/>
    <n v="0"/>
    <n v="71697.5"/>
    <n v="0"/>
    <n v="0"/>
    <n v="30"/>
    <n v="0"/>
    <n v="0"/>
    <n v="0"/>
    <n v="30"/>
    <n v="0"/>
    <n v="2390"/>
    <n v="2390"/>
    <n v="530"/>
    <n v="0"/>
    <n v="0"/>
    <n v="530"/>
    <n v="0"/>
    <n v="75"/>
    <n v="0"/>
    <n v="0"/>
    <n v="75"/>
    <n v="0"/>
    <n v="0"/>
    <n v="0"/>
    <x v="0"/>
  </r>
  <r>
    <s v="销售五部河南省"/>
    <x v="5"/>
    <s v="销售五部"/>
    <x v="29"/>
    <n v="0"/>
    <n v="0"/>
    <n v="13332"/>
    <n v="221937"/>
    <n v="0"/>
    <n v="0"/>
    <n v="0"/>
    <n v="0"/>
    <n v="0"/>
    <n v="346237.5"/>
    <n v="0"/>
    <n v="0"/>
    <n v="7145"/>
    <n v="0"/>
    <n v="0"/>
    <n v="0"/>
    <n v="7145"/>
    <n v="10801"/>
    <n v="11255"/>
    <n v="16655.5"/>
    <n v="2419"/>
    <n v="0"/>
    <n v="0"/>
    <n v="2419"/>
    <n v="0"/>
    <n v="160"/>
    <n v="0"/>
    <n v="0"/>
    <n v="160"/>
    <n v="0"/>
    <n v="0"/>
    <n v="0"/>
    <x v="0"/>
  </r>
  <r>
    <s v="销售五部陕西省"/>
    <x v="5"/>
    <s v="销售五部"/>
    <x v="2"/>
    <n v="0"/>
    <n v="0"/>
    <n v="221"/>
    <n v="33090"/>
    <n v="0"/>
    <n v="7332"/>
    <n v="0"/>
    <n v="235"/>
    <n v="0"/>
    <n v="67234.25"/>
    <n v="0"/>
    <n v="0"/>
    <n v="30"/>
    <n v="0"/>
    <n v="0"/>
    <n v="0"/>
    <n v="30"/>
    <n v="0"/>
    <n v="10"/>
    <n v="10"/>
    <n v="60"/>
    <n v="0"/>
    <n v="0"/>
    <n v="60"/>
    <n v="0"/>
    <n v="0"/>
    <n v="0"/>
    <n v="0"/>
    <n v="0"/>
    <n v="0"/>
    <n v="0"/>
    <n v="0"/>
    <x v="0"/>
  </r>
  <r>
    <s v="OTC浙江省"/>
    <x v="6"/>
    <m/>
    <x v="25"/>
    <n v="0"/>
    <n v="43130"/>
    <n v="0"/>
    <n v="0"/>
    <n v="0"/>
    <n v="0"/>
    <n v="0"/>
    <n v="0"/>
    <n v="0"/>
    <n v="32347.5"/>
    <n v="0"/>
    <n v="30"/>
    <n v="2245"/>
    <n v="0"/>
    <n v="2930"/>
    <n v="0"/>
    <n v="6662.5"/>
    <n v="0"/>
    <n v="0"/>
    <n v="0"/>
    <n v="0"/>
    <n v="0"/>
    <n v="0"/>
    <n v="0"/>
    <n v="0"/>
    <n v="0"/>
    <n v="0"/>
    <n v="0"/>
    <n v="0"/>
    <n v="0"/>
    <n v="0"/>
    <n v="0"/>
    <x v="0"/>
  </r>
  <r>
    <s v="OTC安徽省"/>
    <x v="6"/>
    <m/>
    <x v="7"/>
    <n v="0"/>
    <n v="1750"/>
    <n v="0"/>
    <n v="0"/>
    <n v="0"/>
    <n v="0"/>
    <n v="0"/>
    <n v="0"/>
    <n v="0"/>
    <n v="13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江西省"/>
    <x v="6"/>
    <m/>
    <x v="8"/>
    <n v="0"/>
    <n v="9022"/>
    <n v="0"/>
    <n v="0"/>
    <n v="0"/>
    <n v="0"/>
    <n v="0"/>
    <n v="0"/>
    <n v="0"/>
    <n v="6766.5"/>
    <n v="0"/>
    <n v="140"/>
    <n v="0"/>
    <n v="0"/>
    <n v="0"/>
    <n v="0"/>
    <n v="105"/>
    <n v="0"/>
    <n v="0"/>
    <n v="0"/>
    <n v="0"/>
    <n v="0"/>
    <n v="0"/>
    <n v="0"/>
    <n v="0"/>
    <n v="0"/>
    <n v="0"/>
    <n v="0"/>
    <n v="0"/>
    <n v="0"/>
    <n v="0"/>
    <n v="0"/>
    <x v="0"/>
  </r>
  <r>
    <s v="OTC江苏省"/>
    <x v="6"/>
    <m/>
    <x v="0"/>
    <n v="0"/>
    <n v="8167"/>
    <n v="0"/>
    <n v="0"/>
    <n v="0"/>
    <n v="0"/>
    <n v="0"/>
    <n v="0"/>
    <n v="0"/>
    <n v="6125.25"/>
    <n v="0"/>
    <n v="30"/>
    <n v="0"/>
    <n v="0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x v="0"/>
  </r>
  <r>
    <s v="OTC山东省"/>
    <x v="6"/>
    <m/>
    <x v="1"/>
    <n v="0"/>
    <n v="12881"/>
    <n v="360"/>
    <n v="0"/>
    <n v="0"/>
    <n v="0"/>
    <n v="0"/>
    <n v="0"/>
    <n v="0"/>
    <n v="1002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福建省"/>
    <x v="6"/>
    <m/>
    <x v="24"/>
    <n v="0"/>
    <n v="5989"/>
    <n v="0"/>
    <n v="0"/>
    <n v="0"/>
    <n v="0"/>
    <n v="0"/>
    <n v="0"/>
    <n v="0"/>
    <n v="449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广东省"/>
    <x v="6"/>
    <m/>
    <x v="26"/>
    <n v="0"/>
    <n v="94064"/>
    <n v="0"/>
    <n v="0"/>
    <n v="0"/>
    <n v="0"/>
    <n v="0"/>
    <n v="0"/>
    <n v="0"/>
    <n v="70548"/>
    <n v="0"/>
    <n v="1089"/>
    <n v="0"/>
    <n v="0"/>
    <n v="0"/>
    <n v="0"/>
    <n v="816.75"/>
    <n v="0"/>
    <n v="0"/>
    <n v="0"/>
    <n v="0"/>
    <n v="0"/>
    <n v="0"/>
    <n v="0"/>
    <n v="0"/>
    <n v="0"/>
    <n v="0"/>
    <n v="0"/>
    <n v="0"/>
    <n v="0"/>
    <n v="0"/>
    <n v="0"/>
    <x v="0"/>
  </r>
  <r>
    <s v="OTC海南省"/>
    <x v="6"/>
    <m/>
    <x v="27"/>
    <n v="0"/>
    <n v="2230"/>
    <n v="0"/>
    <n v="0"/>
    <n v="0"/>
    <n v="0"/>
    <n v="0"/>
    <n v="0"/>
    <n v="0"/>
    <n v="167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湖南省"/>
    <x v="6"/>
    <m/>
    <x v="22"/>
    <n v="0"/>
    <n v="4116"/>
    <n v="0"/>
    <n v="0"/>
    <n v="0"/>
    <n v="0"/>
    <n v="0"/>
    <n v="0"/>
    <n v="0"/>
    <n v="3087"/>
    <n v="0"/>
    <n v="5591"/>
    <n v="0"/>
    <n v="0"/>
    <n v="0"/>
    <n v="0"/>
    <n v="4193.25"/>
    <n v="0"/>
    <n v="0"/>
    <n v="0"/>
    <n v="0"/>
    <n v="0"/>
    <n v="0"/>
    <n v="0"/>
    <n v="0"/>
    <n v="0"/>
    <n v="0"/>
    <n v="0"/>
    <n v="0"/>
    <n v="0"/>
    <n v="0"/>
    <n v="0"/>
    <x v="0"/>
  </r>
  <r>
    <s v="OTC湖北省"/>
    <x v="6"/>
    <m/>
    <x v="16"/>
    <n v="0"/>
    <n v="6538"/>
    <n v="0"/>
    <n v="0"/>
    <n v="0"/>
    <n v="0"/>
    <n v="0"/>
    <n v="0"/>
    <n v="0"/>
    <n v="4903.5"/>
    <n v="0"/>
    <n v="177"/>
    <n v="0"/>
    <n v="0"/>
    <n v="0"/>
    <n v="0"/>
    <n v="132.75"/>
    <n v="0"/>
    <n v="0"/>
    <n v="0"/>
    <n v="0"/>
    <n v="0"/>
    <n v="0"/>
    <n v="0"/>
    <n v="0"/>
    <n v="0"/>
    <n v="0"/>
    <n v="0"/>
    <n v="0"/>
    <n v="0"/>
    <n v="0"/>
    <n v="0"/>
    <x v="0"/>
  </r>
  <r>
    <s v="OTC广西壮族自治区"/>
    <x v="6"/>
    <m/>
    <x v="21"/>
    <n v="0"/>
    <n v="2678"/>
    <n v="0"/>
    <n v="0"/>
    <n v="0"/>
    <n v="0"/>
    <n v="0"/>
    <n v="0"/>
    <n v="0"/>
    <n v="200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贵州省"/>
    <x v="6"/>
    <m/>
    <x v="20"/>
    <n v="0"/>
    <n v="720"/>
    <n v="0"/>
    <n v="0"/>
    <n v="0"/>
    <n v="0"/>
    <n v="0"/>
    <n v="0"/>
    <n v="0"/>
    <n v="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云南省"/>
    <x v="6"/>
    <m/>
    <x v="17"/>
    <n v="0"/>
    <n v="4240"/>
    <n v="0"/>
    <n v="4548"/>
    <n v="0"/>
    <n v="0"/>
    <n v="0"/>
    <n v="722"/>
    <n v="0"/>
    <n v="1270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陕西省"/>
    <x v="6"/>
    <m/>
    <x v="2"/>
    <n v="0"/>
    <n v="12456"/>
    <n v="0"/>
    <n v="0"/>
    <n v="0"/>
    <n v="0"/>
    <n v="0"/>
    <n v="0"/>
    <n v="0"/>
    <n v="9342"/>
    <n v="0"/>
    <n v="810"/>
    <n v="0"/>
    <n v="0"/>
    <n v="0"/>
    <n v="0"/>
    <n v="607.5"/>
    <n v="0"/>
    <n v="0"/>
    <n v="0"/>
    <n v="0"/>
    <n v="0"/>
    <n v="0"/>
    <n v="0"/>
    <n v="0"/>
    <n v="0"/>
    <n v="0"/>
    <n v="0"/>
    <n v="0"/>
    <n v="0"/>
    <n v="0"/>
    <n v="0"/>
    <x v="0"/>
  </r>
  <r>
    <s v="OTC四川省"/>
    <x v="6"/>
    <m/>
    <x v="18"/>
    <n v="0"/>
    <n v="2609"/>
    <n v="0"/>
    <n v="0"/>
    <n v="0"/>
    <n v="0"/>
    <n v="0"/>
    <n v="0"/>
    <n v="0"/>
    <n v="1956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重庆市"/>
    <x v="6"/>
    <m/>
    <x v="19"/>
    <n v="0"/>
    <n v="1440"/>
    <n v="0"/>
    <n v="0"/>
    <n v="0"/>
    <n v="0"/>
    <n v="0"/>
    <n v="0"/>
    <n v="0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甘肃省"/>
    <x v="6"/>
    <m/>
    <x v="28"/>
    <n v="0"/>
    <n v="6015"/>
    <n v="0"/>
    <n v="0"/>
    <n v="0"/>
    <n v="0"/>
    <n v="0"/>
    <n v="0"/>
    <n v="0"/>
    <n v="4511.25"/>
    <n v="0"/>
    <n v="65"/>
    <n v="0"/>
    <n v="0"/>
    <n v="0"/>
    <n v="0"/>
    <n v="48.75"/>
    <n v="0"/>
    <n v="0"/>
    <n v="0"/>
    <n v="0"/>
    <n v="0"/>
    <n v="0"/>
    <n v="0"/>
    <n v="0"/>
    <n v="0"/>
    <n v="0"/>
    <n v="0"/>
    <n v="0"/>
    <n v="0"/>
    <n v="0"/>
    <n v="0"/>
    <x v="0"/>
  </r>
  <r>
    <s v="OTC北京市"/>
    <x v="6"/>
    <m/>
    <x v="23"/>
    <n v="0"/>
    <n v="5153"/>
    <n v="0"/>
    <n v="0"/>
    <n v="0"/>
    <n v="0"/>
    <n v="0"/>
    <n v="0"/>
    <n v="0"/>
    <n v="386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河北省"/>
    <x v="6"/>
    <m/>
    <x v="9"/>
    <n v="0"/>
    <n v="25238"/>
    <n v="0"/>
    <n v="0"/>
    <n v="0"/>
    <n v="0"/>
    <n v="0"/>
    <n v="0"/>
    <n v="0"/>
    <n v="18928.5"/>
    <n v="0"/>
    <n v="606"/>
    <n v="0"/>
    <n v="0"/>
    <n v="0"/>
    <n v="0"/>
    <n v="454.5"/>
    <n v="0"/>
    <n v="0"/>
    <n v="0"/>
    <n v="0"/>
    <n v="0"/>
    <n v="0"/>
    <n v="0"/>
    <n v="0"/>
    <n v="0"/>
    <n v="0"/>
    <n v="0"/>
    <n v="0"/>
    <n v="0"/>
    <n v="0"/>
    <n v="0"/>
    <x v="0"/>
  </r>
  <r>
    <s v="OTC天津市"/>
    <x v="6"/>
    <m/>
    <x v="11"/>
    <n v="0"/>
    <n v="1352"/>
    <n v="414"/>
    <n v="0"/>
    <n v="0"/>
    <n v="0"/>
    <n v="0"/>
    <n v="0"/>
    <n v="0"/>
    <n v="1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河南省"/>
    <x v="6"/>
    <m/>
    <x v="29"/>
    <n v="0"/>
    <n v="16902"/>
    <n v="0"/>
    <n v="0"/>
    <n v="0"/>
    <n v="0"/>
    <n v="0"/>
    <n v="0"/>
    <n v="0"/>
    <n v="12676.5"/>
    <n v="0"/>
    <n v="2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x v="0"/>
  </r>
  <r>
    <s v="OTC山西省"/>
    <x v="6"/>
    <m/>
    <x v="10"/>
    <n v="0"/>
    <n v="17362"/>
    <n v="0"/>
    <n v="0"/>
    <n v="0"/>
    <n v="0"/>
    <n v="0"/>
    <n v="0"/>
    <n v="0"/>
    <n v="13021.5"/>
    <n v="0"/>
    <n v="224"/>
    <n v="0"/>
    <n v="0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x v="0"/>
  </r>
  <r>
    <s v="OTC黑龙江省"/>
    <x v="6"/>
    <m/>
    <x v="12"/>
    <n v="0"/>
    <n v="8920"/>
    <n v="0"/>
    <n v="0"/>
    <n v="0"/>
    <n v="0"/>
    <n v="0"/>
    <n v="0"/>
    <n v="0"/>
    <n v="6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吉林省"/>
    <x v="6"/>
    <m/>
    <x v="14"/>
    <n v="0"/>
    <n v="5338"/>
    <n v="0"/>
    <n v="0"/>
    <n v="0"/>
    <n v="0"/>
    <n v="0"/>
    <n v="0"/>
    <n v="0"/>
    <n v="4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辽宁省"/>
    <x v="6"/>
    <m/>
    <x v="13"/>
    <n v="0"/>
    <n v="16361"/>
    <n v="0"/>
    <n v="0"/>
    <n v="-100"/>
    <n v="0"/>
    <n v="0"/>
    <n v="0"/>
    <n v="0"/>
    <n v="12070.75"/>
    <n v="0"/>
    <n v="2165"/>
    <n v="0"/>
    <n v="0"/>
    <n v="0"/>
    <n v="0"/>
    <n v="1623.75"/>
    <n v="0"/>
    <n v="0"/>
    <n v="0"/>
    <n v="0"/>
    <n v="0"/>
    <n v="0"/>
    <n v="0"/>
    <n v="0"/>
    <n v="0"/>
    <n v="0"/>
    <n v="0"/>
    <n v="0"/>
    <n v="0"/>
    <n v="0"/>
    <n v="0"/>
    <x v="0"/>
  </r>
  <r>
    <s v="电商部电商"/>
    <x v="7"/>
    <s v="电商部"/>
    <x v="30"/>
    <n v="0"/>
    <n v="4620"/>
    <n v="56211"/>
    <n v="4099"/>
    <n v="0"/>
    <n v="20445"/>
    <n v="0"/>
    <n v="0"/>
    <n v="1775"/>
    <n v="125138.25"/>
    <n v="0"/>
    <n v="200"/>
    <n v="3214"/>
    <n v="0"/>
    <n v="28852"/>
    <n v="0"/>
    <n v="46642"/>
    <n v="0"/>
    <n v="17055"/>
    <n v="17055"/>
    <n v="52"/>
    <n v="0"/>
    <n v="0"/>
    <n v="52"/>
    <n v="0"/>
    <n v="0"/>
    <n v="0"/>
    <n v="0"/>
    <n v="0"/>
    <n v="0"/>
    <n v="942"/>
    <n v="1648.5"/>
    <x v="0"/>
  </r>
  <r>
    <s v="上海事业部上海市"/>
    <x v="8"/>
    <s v="上海大包"/>
    <x v="31"/>
    <n v="0"/>
    <n v="0"/>
    <n v="80305.919999999998"/>
    <n v="73828"/>
    <n v="0"/>
    <n v="0"/>
    <n v="0"/>
    <n v="0"/>
    <n v="0"/>
    <n v="191047.91999999998"/>
    <n v="6839"/>
    <n v="0"/>
    <n v="56423"/>
    <n v="0"/>
    <n v="1860"/>
    <n v="0"/>
    <n v="62632.5"/>
    <n v="0"/>
    <n v="47524"/>
    <n v="47524"/>
    <n v="0"/>
    <n v="0"/>
    <n v="0"/>
    <n v="0"/>
    <n v="0"/>
    <n v="705"/>
    <n v="0"/>
    <n v="0"/>
    <n v="705"/>
    <n v="0"/>
    <n v="0"/>
    <n v="0"/>
    <x v="0"/>
  </r>
  <r>
    <s v="商务部河南省"/>
    <x v="9"/>
    <s v="商务部"/>
    <x v="29"/>
    <n v="0"/>
    <n v="8201"/>
    <n v="0"/>
    <n v="0"/>
    <n v="0"/>
    <n v="0"/>
    <n v="0"/>
    <n v="0"/>
    <n v="0"/>
    <n v="615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陕西省"/>
    <x v="9"/>
    <s v="商务部"/>
    <x v="2"/>
    <n v="0"/>
    <n v="4280"/>
    <n v="0"/>
    <n v="0"/>
    <n v="0"/>
    <n v="0"/>
    <n v="0"/>
    <n v="0"/>
    <n v="0"/>
    <n v="3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湖北省"/>
    <x v="9"/>
    <s v="商务部"/>
    <x v="16"/>
    <n v="0"/>
    <n v="5400"/>
    <n v="0"/>
    <n v="0"/>
    <n v="0"/>
    <n v="0"/>
    <n v="0"/>
    <n v="0"/>
    <n v="0"/>
    <n v="4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安徽省"/>
    <x v="9"/>
    <s v="商务部"/>
    <x v="7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山东省"/>
    <x v="9"/>
    <s v="商务部"/>
    <x v="1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广东省"/>
    <x v="9"/>
    <s v="商务部"/>
    <x v="26"/>
    <n v="0"/>
    <n v="7200"/>
    <n v="0"/>
    <n v="0"/>
    <n v="0"/>
    <n v="0"/>
    <n v="0"/>
    <n v="0"/>
    <n v="0"/>
    <n v="5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江苏省"/>
    <x v="9"/>
    <s v="商务部"/>
    <x v="0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重庆市"/>
    <x v="9"/>
    <s v="商务部"/>
    <x v="19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四川省"/>
    <x v="9"/>
    <s v="商务部"/>
    <x v="18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湖南省"/>
    <x v="9"/>
    <s v="商务部"/>
    <x v="22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浙江省"/>
    <x v="9"/>
    <s v="商务部"/>
    <x v="25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北京市"/>
    <x v="9"/>
    <s v="商务部"/>
    <x v="23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河北省"/>
    <x v="9"/>
    <s v="商务部"/>
    <x v="9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黑龙江省"/>
    <x v="9"/>
    <s v="商务部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吉林省"/>
    <x v="9"/>
    <s v="商务部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江西省"/>
    <x v="9"/>
    <s v="商务部"/>
    <x v="8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辽宁省"/>
    <x v="9"/>
    <s v="商务部"/>
    <x v="13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山西省"/>
    <x v="9"/>
    <s v="商务部"/>
    <x v="10"/>
    <n v="0"/>
    <n v="540"/>
    <n v="0"/>
    <n v="0"/>
    <n v="0"/>
    <n v="0"/>
    <n v="0"/>
    <n v="0"/>
    <n v="0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福建省"/>
    <x v="9"/>
    <s v="商务部"/>
    <x v="24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营销总部浙江省"/>
    <x v="10"/>
    <s v="营销总部"/>
    <x v="25"/>
    <n v="110"/>
    <n v="10324"/>
    <n v="15581"/>
    <n v="536"/>
    <n v="0"/>
    <n v="33"/>
    <n v="0"/>
    <n v="29"/>
    <n v="35"/>
    <n v="24628.5"/>
    <n v="50"/>
    <n v="87"/>
    <n v="140"/>
    <n v="639"/>
    <n v="1789"/>
    <n v="62"/>
    <n v="3867.5"/>
    <n v="187"/>
    <n v="3558"/>
    <n v="3651.5"/>
    <n v="124"/>
    <n v="0"/>
    <n v="0"/>
    <n v="124"/>
    <n v="0"/>
    <n v="-77"/>
    <n v="0"/>
    <n v="0"/>
    <n v="-77"/>
    <n v="0"/>
    <n v="0"/>
    <n v="0"/>
    <x v="0"/>
  </r>
  <r>
    <s v="代理事业部江苏省"/>
    <x v="0"/>
    <s v="招商1区"/>
    <x v="0"/>
    <n v="0"/>
    <n v="0"/>
    <n v="3232"/>
    <n v="41688"/>
    <n v="0"/>
    <n v="0"/>
    <n v="0"/>
    <n v="2266"/>
    <n v="0"/>
    <n v="74261.5"/>
    <n v="0"/>
    <n v="0"/>
    <n v="0"/>
    <n v="1248"/>
    <n v="3883"/>
    <n v="17701"/>
    <n v="51637"/>
    <n v="0"/>
    <n v="13871"/>
    <n v="13871"/>
    <n v="0"/>
    <n v="0"/>
    <n v="0"/>
    <n v="0"/>
    <n v="0"/>
    <n v="465"/>
    <n v="0"/>
    <n v="0"/>
    <n v="465"/>
    <n v="0"/>
    <n v="0"/>
    <n v="0"/>
    <x v="1"/>
  </r>
  <r>
    <s v="代理事业部山东省"/>
    <x v="0"/>
    <s v="招商2区"/>
    <x v="1"/>
    <n v="0"/>
    <n v="0"/>
    <n v="50696"/>
    <n v="-2"/>
    <n v="0"/>
    <n v="0"/>
    <n v="0"/>
    <n v="0"/>
    <n v="0"/>
    <n v="50693"/>
    <n v="0"/>
    <n v="0"/>
    <n v="1364"/>
    <n v="0"/>
    <n v="13817"/>
    <n v="1670"/>
    <n v="26264.5"/>
    <n v="865"/>
    <n v="1235"/>
    <n v="1667.5"/>
    <n v="0"/>
    <n v="0"/>
    <n v="0"/>
    <n v="0"/>
    <n v="0"/>
    <n v="265"/>
    <n v="0"/>
    <n v="0"/>
    <n v="265"/>
    <n v="0"/>
    <n v="0"/>
    <n v="0"/>
    <x v="1"/>
  </r>
  <r>
    <s v="代理事业部陕西省"/>
    <x v="0"/>
    <s v="招商2区"/>
    <x v="2"/>
    <n v="0"/>
    <n v="0"/>
    <n v="1447"/>
    <n v="5831"/>
    <n v="0"/>
    <n v="2056"/>
    <n v="0"/>
    <n v="0"/>
    <n v="0"/>
    <n v="14819.5"/>
    <n v="0"/>
    <n v="0"/>
    <n v="-100"/>
    <n v="0"/>
    <n v="0"/>
    <n v="0"/>
    <n v="-100"/>
    <n v="0"/>
    <n v="3340"/>
    <n v="3340"/>
    <n v="0"/>
    <n v="0"/>
    <n v="0"/>
    <n v="0"/>
    <n v="0"/>
    <n v="0"/>
    <n v="0"/>
    <n v="0"/>
    <n v="0"/>
    <n v="0"/>
    <n v="0"/>
    <n v="0"/>
    <x v="1"/>
  </r>
  <r>
    <s v="代理事业部宁夏回族自治区"/>
    <x v="0"/>
    <s v="招商2区"/>
    <x v="3"/>
    <n v="0"/>
    <n v="0"/>
    <n v="-9345"/>
    <n v="7100"/>
    <n v="0"/>
    <n v="0"/>
    <n v="0"/>
    <n v="0"/>
    <n v="0"/>
    <n v="1305"/>
    <n v="0"/>
    <n v="0"/>
    <n v="0"/>
    <n v="0"/>
    <n v="0"/>
    <n v="0"/>
    <n v="0"/>
    <n v="0"/>
    <n v="361"/>
    <n v="361"/>
    <n v="0"/>
    <n v="0"/>
    <n v="0"/>
    <n v="0"/>
    <n v="0"/>
    <n v="0"/>
    <n v="0"/>
    <n v="0"/>
    <n v="0"/>
    <n v="0"/>
    <n v="0"/>
    <n v="0"/>
    <x v="1"/>
  </r>
  <r>
    <s v="代理事业部青海省"/>
    <x v="0"/>
    <s v="招商2区"/>
    <x v="4"/>
    <n v="0"/>
    <n v="0"/>
    <n v="1019"/>
    <n v="4340"/>
    <n v="0"/>
    <n v="0"/>
    <n v="0"/>
    <n v="0"/>
    <n v="0"/>
    <n v="7529"/>
    <n v="0"/>
    <n v="0"/>
    <n v="389"/>
    <n v="0"/>
    <n v="340"/>
    <n v="610"/>
    <n v="2424"/>
    <n v="0"/>
    <n v="2189"/>
    <n v="2189"/>
    <n v="0"/>
    <n v="0"/>
    <n v="0"/>
    <n v="0"/>
    <n v="0"/>
    <n v="0"/>
    <n v="0"/>
    <n v="0"/>
    <n v="0"/>
    <n v="0"/>
    <n v="0"/>
    <n v="0"/>
    <x v="1"/>
  </r>
  <r>
    <s v="代理事业部西藏自治区"/>
    <x v="0"/>
    <s v="招商6区"/>
    <x v="5"/>
    <n v="0"/>
    <n v="0"/>
    <n v="720"/>
    <n v="0"/>
    <n v="0"/>
    <n v="0"/>
    <n v="0"/>
    <n v="0"/>
    <n v="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代理事业部新疆维吾尔自治区"/>
    <x v="0"/>
    <s v="招商2区"/>
    <x v="6"/>
    <n v="0"/>
    <n v="0"/>
    <n v="4777"/>
    <n v="8105"/>
    <n v="0"/>
    <n v="4576"/>
    <n v="0"/>
    <n v="0"/>
    <n v="0"/>
    <n v="27230.5"/>
    <n v="0"/>
    <n v="0"/>
    <n v="397"/>
    <n v="0"/>
    <n v="0"/>
    <n v="0"/>
    <n v="397"/>
    <n v="0"/>
    <n v="4309"/>
    <n v="4309"/>
    <n v="0"/>
    <n v="0"/>
    <n v="0"/>
    <n v="0"/>
    <n v="0"/>
    <n v="0"/>
    <n v="0"/>
    <n v="0"/>
    <n v="0"/>
    <n v="0"/>
    <n v="0"/>
    <n v="0"/>
    <x v="1"/>
  </r>
  <r>
    <s v="代理事业部安徽省"/>
    <x v="0"/>
    <s v="招商3区"/>
    <x v="7"/>
    <n v="0"/>
    <n v="0"/>
    <n v="7160"/>
    <n v="10785"/>
    <n v="0"/>
    <n v="0"/>
    <n v="0"/>
    <n v="0"/>
    <n v="0"/>
    <n v="23337.5"/>
    <n v="788"/>
    <n v="0"/>
    <n v="5060"/>
    <n v="90"/>
    <n v="5030"/>
    <n v="0"/>
    <n v="13111.5"/>
    <n v="0"/>
    <n v="1180"/>
    <n v="1180"/>
    <n v="0"/>
    <n v="0"/>
    <n v="0"/>
    <n v="0"/>
    <n v="0"/>
    <n v="420"/>
    <n v="0"/>
    <n v="0"/>
    <n v="420"/>
    <n v="0"/>
    <n v="0"/>
    <n v="0"/>
    <x v="1"/>
  </r>
  <r>
    <s v="代理事业部江西省"/>
    <x v="0"/>
    <s v="招商3区"/>
    <x v="8"/>
    <n v="0"/>
    <n v="0"/>
    <n v="29"/>
    <n v="6010"/>
    <n v="0"/>
    <n v="1140"/>
    <n v="0"/>
    <n v="1"/>
    <n v="0"/>
    <n v="11612.75"/>
    <n v="0"/>
    <n v="0"/>
    <n v="150"/>
    <n v="210"/>
    <n v="0"/>
    <n v="0"/>
    <n v="412.5"/>
    <n v="0"/>
    <n v="6945"/>
    <n v="6945"/>
    <n v="0"/>
    <n v="0"/>
    <n v="0"/>
    <n v="0"/>
    <n v="0"/>
    <n v="1170"/>
    <n v="0"/>
    <n v="0"/>
    <n v="1170"/>
    <n v="0"/>
    <n v="0"/>
    <n v="0"/>
    <x v="1"/>
  </r>
  <r>
    <s v="代理事业部河北省"/>
    <x v="0"/>
    <s v="招商3区"/>
    <x v="9"/>
    <n v="0"/>
    <n v="0"/>
    <n v="-20"/>
    <n v="47980"/>
    <n v="0"/>
    <n v="0"/>
    <n v="0"/>
    <n v="0"/>
    <n v="0"/>
    <n v="71950"/>
    <n v="0"/>
    <n v="0"/>
    <n v="5"/>
    <n v="0"/>
    <n v="0"/>
    <n v="0"/>
    <n v="5"/>
    <n v="0"/>
    <n v="7718"/>
    <n v="7718"/>
    <n v="300"/>
    <n v="0"/>
    <n v="0"/>
    <n v="300"/>
    <n v="0"/>
    <n v="150"/>
    <n v="0"/>
    <n v="0"/>
    <n v="150"/>
    <n v="0"/>
    <n v="0"/>
    <n v="0"/>
    <x v="1"/>
  </r>
  <r>
    <s v="代理事业部山西省"/>
    <x v="0"/>
    <s v="招商3区"/>
    <x v="10"/>
    <n v="0"/>
    <n v="0"/>
    <n v="0"/>
    <n v="15060"/>
    <n v="0"/>
    <n v="0"/>
    <n v="0"/>
    <n v="0"/>
    <n v="0"/>
    <n v="22590"/>
    <n v="0"/>
    <n v="0"/>
    <n v="4151"/>
    <n v="0"/>
    <n v="891"/>
    <n v="0"/>
    <n v="5487.5"/>
    <n v="0"/>
    <n v="1103"/>
    <n v="1103"/>
    <n v="40"/>
    <n v="0"/>
    <n v="0"/>
    <n v="40"/>
    <n v="0"/>
    <n v="100"/>
    <n v="0"/>
    <n v="0"/>
    <n v="100"/>
    <n v="0"/>
    <n v="0"/>
    <n v="0"/>
    <x v="1"/>
  </r>
  <r>
    <s v="代理事业部天津市"/>
    <x v="0"/>
    <s v="招商3区"/>
    <x v="11"/>
    <n v="0"/>
    <n v="0"/>
    <n v="45"/>
    <n v="8303"/>
    <n v="0"/>
    <n v="3617"/>
    <n v="0"/>
    <n v="60"/>
    <n v="0"/>
    <n v="20862.75"/>
    <n v="0"/>
    <n v="0"/>
    <n v="2923"/>
    <n v="0"/>
    <n v="821"/>
    <n v="70"/>
    <n v="4329.5"/>
    <n v="0"/>
    <n v="1603"/>
    <n v="1603"/>
    <n v="50"/>
    <n v="0"/>
    <n v="0"/>
    <n v="50"/>
    <n v="0"/>
    <n v="50"/>
    <n v="0"/>
    <n v="0"/>
    <n v="50"/>
    <n v="0"/>
    <n v="0"/>
    <n v="0"/>
    <x v="1"/>
  </r>
  <r>
    <s v="代理事业部黑龙江省"/>
    <x v="0"/>
    <s v="招商4区"/>
    <x v="12"/>
    <n v="0"/>
    <n v="0"/>
    <n v="1194"/>
    <n v="3124"/>
    <n v="0"/>
    <n v="1231"/>
    <n v="0"/>
    <n v="480"/>
    <n v="0"/>
    <n v="10449.75"/>
    <n v="0"/>
    <n v="0"/>
    <n v="470"/>
    <n v="0"/>
    <n v="480"/>
    <n v="4470"/>
    <n v="12365"/>
    <n v="0"/>
    <n v="1773"/>
    <n v="1773"/>
    <n v="50"/>
    <n v="0"/>
    <n v="0"/>
    <n v="50"/>
    <n v="0"/>
    <n v="0"/>
    <n v="0"/>
    <n v="0"/>
    <n v="0"/>
    <n v="0"/>
    <n v="0"/>
    <n v="0"/>
    <x v="1"/>
  </r>
  <r>
    <s v="代理事业部辽宁省"/>
    <x v="0"/>
    <s v="招商4区"/>
    <x v="13"/>
    <n v="0"/>
    <n v="0"/>
    <n v="505"/>
    <n v="14882"/>
    <n v="0"/>
    <n v="2557"/>
    <n v="0"/>
    <n v="88"/>
    <n v="0"/>
    <n v="28911.25"/>
    <n v="0"/>
    <n v="0"/>
    <n v="61"/>
    <n v="0"/>
    <n v="0"/>
    <n v="0"/>
    <n v="61"/>
    <n v="0"/>
    <n v="1514"/>
    <n v="1514"/>
    <n v="0"/>
    <n v="0"/>
    <n v="0"/>
    <n v="0"/>
    <n v="0"/>
    <n v="0"/>
    <n v="0"/>
    <n v="0"/>
    <n v="0"/>
    <n v="0"/>
    <n v="0"/>
    <n v="0"/>
    <x v="1"/>
  </r>
  <r>
    <s v="代理事业部吉林省"/>
    <x v="0"/>
    <s v="招商4区"/>
    <x v="14"/>
    <n v="0"/>
    <n v="0"/>
    <n v="15"/>
    <n v="4967"/>
    <n v="0"/>
    <n v="1250"/>
    <n v="0"/>
    <n v="48"/>
    <n v="0"/>
    <n v="10458"/>
    <n v="0"/>
    <n v="0"/>
    <n v="0"/>
    <n v="0"/>
    <n v="215"/>
    <n v="0"/>
    <n v="322.5"/>
    <n v="0"/>
    <n v="50"/>
    <n v="50"/>
    <n v="0"/>
    <n v="0"/>
    <n v="0"/>
    <n v="0"/>
    <n v="0"/>
    <n v="0"/>
    <n v="0"/>
    <n v="0"/>
    <n v="0"/>
    <n v="0"/>
    <n v="0"/>
    <n v="0"/>
    <x v="1"/>
  </r>
  <r>
    <s v="代理事业部内蒙古自治区"/>
    <x v="0"/>
    <s v="招商4区"/>
    <x v="15"/>
    <n v="0"/>
    <n v="0"/>
    <n v="133"/>
    <n v="8372"/>
    <n v="0"/>
    <n v="0"/>
    <n v="0"/>
    <n v="0"/>
    <n v="0"/>
    <n v="12691"/>
    <n v="0"/>
    <n v="0"/>
    <n v="0"/>
    <n v="0"/>
    <n v="0"/>
    <n v="0"/>
    <n v="0"/>
    <n v="0"/>
    <n v="688"/>
    <n v="688"/>
    <n v="220"/>
    <n v="0"/>
    <n v="0"/>
    <n v="220"/>
    <n v="0"/>
    <n v="0"/>
    <n v="0"/>
    <n v="0"/>
    <n v="0"/>
    <n v="0"/>
    <n v="0"/>
    <n v="0"/>
    <x v="1"/>
  </r>
  <r>
    <s v="代理事业部湖北省"/>
    <x v="0"/>
    <s v="招商5区"/>
    <x v="16"/>
    <n v="0"/>
    <n v="0"/>
    <n v="24186"/>
    <n v="2760"/>
    <n v="0"/>
    <n v="0"/>
    <n v="0"/>
    <n v="0"/>
    <n v="0"/>
    <n v="28326"/>
    <n v="0"/>
    <n v="0"/>
    <n v="1655"/>
    <n v="0"/>
    <n v="1120"/>
    <n v="0"/>
    <n v="3335"/>
    <n v="0"/>
    <n v="12769"/>
    <n v="12769"/>
    <n v="240"/>
    <n v="0"/>
    <n v="0"/>
    <n v="240"/>
    <n v="0"/>
    <n v="180"/>
    <n v="0"/>
    <n v="0"/>
    <n v="180"/>
    <n v="0"/>
    <n v="0"/>
    <n v="0"/>
    <x v="1"/>
  </r>
  <r>
    <s v="代理事业部云南省"/>
    <x v="0"/>
    <s v="招商5区"/>
    <x v="17"/>
    <n v="0"/>
    <n v="0"/>
    <n v="71"/>
    <n v="9729"/>
    <n v="0"/>
    <n v="0"/>
    <n v="0"/>
    <n v="11"/>
    <n v="0"/>
    <n v="14705.75"/>
    <n v="4290"/>
    <n v="0"/>
    <n v="8183"/>
    <n v="380"/>
    <n v="1472"/>
    <n v="0"/>
    <n v="13011"/>
    <n v="0"/>
    <n v="300"/>
    <n v="300"/>
    <n v="0"/>
    <n v="0"/>
    <n v="0"/>
    <n v="0"/>
    <n v="0"/>
    <n v="50"/>
    <n v="0"/>
    <n v="0"/>
    <n v="50"/>
    <n v="0"/>
    <n v="0"/>
    <n v="0"/>
    <x v="1"/>
  </r>
  <r>
    <s v="代理事业部四川省"/>
    <x v="0"/>
    <s v="招商6区"/>
    <x v="18"/>
    <n v="0"/>
    <n v="0"/>
    <n v="49971"/>
    <n v="2308"/>
    <n v="0"/>
    <n v="0"/>
    <n v="0"/>
    <n v="0"/>
    <n v="0"/>
    <n v="53433"/>
    <n v="0"/>
    <n v="0"/>
    <n v="1664"/>
    <n v="0"/>
    <n v="0"/>
    <n v="0"/>
    <n v="1664"/>
    <n v="0"/>
    <n v="4471"/>
    <n v="4471"/>
    <n v="275"/>
    <n v="0"/>
    <n v="0"/>
    <n v="275"/>
    <n v="0"/>
    <n v="270"/>
    <n v="0"/>
    <n v="0"/>
    <n v="270"/>
    <n v="0"/>
    <n v="0"/>
    <n v="0"/>
    <x v="1"/>
  </r>
  <r>
    <s v="代理事业部重庆市"/>
    <x v="0"/>
    <s v="招商6区"/>
    <x v="19"/>
    <n v="0"/>
    <n v="0"/>
    <n v="698"/>
    <n v="7046"/>
    <n v="0"/>
    <n v="194"/>
    <n v="0"/>
    <n v="0"/>
    <n v="0"/>
    <n v="11703.5"/>
    <n v="0"/>
    <n v="0"/>
    <n v="140"/>
    <n v="0"/>
    <n v="0"/>
    <n v="0"/>
    <n v="140"/>
    <n v="0"/>
    <n v="4776"/>
    <n v="4776"/>
    <n v="0"/>
    <n v="0"/>
    <n v="0"/>
    <n v="0"/>
    <n v="0"/>
    <n v="0"/>
    <n v="0"/>
    <n v="0"/>
    <n v="0"/>
    <n v="0"/>
    <n v="0"/>
    <n v="0"/>
    <x v="1"/>
  </r>
  <r>
    <s v="代理事业部贵州省"/>
    <x v="0"/>
    <s v="招商6区"/>
    <x v="20"/>
    <n v="0"/>
    <n v="0"/>
    <n v="130"/>
    <n v="3875"/>
    <n v="0"/>
    <n v="3144"/>
    <n v="0"/>
    <n v="600"/>
    <n v="0"/>
    <n v="15266.5"/>
    <n v="0"/>
    <n v="0"/>
    <n v="0"/>
    <n v="100"/>
    <n v="0"/>
    <n v="0"/>
    <n v="125"/>
    <n v="0"/>
    <n v="115"/>
    <n v="115"/>
    <n v="0"/>
    <n v="0"/>
    <n v="0"/>
    <n v="0"/>
    <n v="0"/>
    <n v="0"/>
    <n v="0"/>
    <n v="0"/>
    <n v="0"/>
    <n v="0"/>
    <n v="0"/>
    <n v="0"/>
    <x v="1"/>
  </r>
  <r>
    <s v="代理事业部广西壮族自治区"/>
    <x v="0"/>
    <s v="招商7区"/>
    <x v="21"/>
    <n v="0"/>
    <n v="0"/>
    <n v="-1"/>
    <n v="14227"/>
    <n v="0"/>
    <n v="0"/>
    <n v="0"/>
    <n v="0"/>
    <n v="0"/>
    <n v="21339.5"/>
    <n v="0"/>
    <n v="0"/>
    <n v="5450"/>
    <n v="0"/>
    <n v="2750"/>
    <n v="0"/>
    <n v="9575"/>
    <n v="1808"/>
    <n v="0"/>
    <n v="904"/>
    <n v="0"/>
    <n v="0"/>
    <n v="0"/>
    <n v="0"/>
    <n v="0"/>
    <n v="162"/>
    <n v="0"/>
    <n v="0"/>
    <n v="162"/>
    <n v="0"/>
    <n v="0"/>
    <n v="0"/>
    <x v="1"/>
  </r>
  <r>
    <s v="代理事业部湖南省"/>
    <x v="0"/>
    <s v="招商7区"/>
    <x v="22"/>
    <n v="0"/>
    <n v="0"/>
    <n v="0"/>
    <n v="21235"/>
    <n v="0"/>
    <n v="0"/>
    <n v="0"/>
    <n v="0"/>
    <n v="0"/>
    <n v="31852.5"/>
    <n v="0"/>
    <n v="0"/>
    <n v="1580"/>
    <n v="0"/>
    <n v="0"/>
    <n v="0"/>
    <n v="1580"/>
    <n v="0"/>
    <n v="4940"/>
    <n v="4940"/>
    <n v="81"/>
    <n v="0"/>
    <n v="0"/>
    <n v="81"/>
    <n v="0"/>
    <n v="0"/>
    <n v="0"/>
    <n v="0"/>
    <n v="0"/>
    <n v="0"/>
    <n v="0"/>
    <n v="0"/>
    <x v="1"/>
  </r>
  <r>
    <s v="销售一部河北省"/>
    <x v="1"/>
    <s v="华北大区"/>
    <x v="9"/>
    <n v="0"/>
    <n v="0"/>
    <n v="13"/>
    <n v="23715"/>
    <n v="0"/>
    <n v="0"/>
    <n v="0"/>
    <n v="0"/>
    <n v="0"/>
    <n v="35585.5"/>
    <n v="0"/>
    <n v="0"/>
    <n v="10"/>
    <n v="0"/>
    <n v="0"/>
    <n v="0"/>
    <n v="10"/>
    <n v="0"/>
    <n v="100"/>
    <n v="100"/>
    <n v="550"/>
    <n v="0"/>
    <n v="0"/>
    <n v="550"/>
    <n v="0"/>
    <n v="0"/>
    <n v="0"/>
    <n v="0"/>
    <n v="0"/>
    <n v="0"/>
    <n v="0"/>
    <n v="0"/>
    <x v="1"/>
  </r>
  <r>
    <s v="销售一部黑龙江省"/>
    <x v="1"/>
    <s v="华北大区"/>
    <x v="12"/>
    <n v="0"/>
    <n v="0"/>
    <n v="211"/>
    <n v="2740"/>
    <n v="0"/>
    <n v="3300"/>
    <n v="0"/>
    <n v="0"/>
    <n v="0"/>
    <n v="11746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1"/>
  </r>
  <r>
    <s v="销售一部吉林省"/>
    <x v="1"/>
    <s v="华北大区"/>
    <x v="14"/>
    <n v="0"/>
    <n v="0"/>
    <n v="42"/>
    <n v="0"/>
    <n v="0"/>
    <n v="420"/>
    <n v="0"/>
    <n v="1632"/>
    <n v="0"/>
    <n v="7107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1"/>
  </r>
  <r>
    <s v="销售一部辽宁省"/>
    <x v="1"/>
    <s v="华北大区"/>
    <x v="13"/>
    <n v="0"/>
    <n v="0"/>
    <n v="204"/>
    <n v="3770"/>
    <n v="0"/>
    <n v="1270"/>
    <n v="0"/>
    <n v="1872"/>
    <n v="0"/>
    <n v="15736.5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x v="1"/>
  </r>
  <r>
    <s v="销售一部山东省"/>
    <x v="1"/>
    <s v="华北大区"/>
    <x v="1"/>
    <n v="0"/>
    <n v="0"/>
    <n v="7851"/>
    <n v="6166"/>
    <n v="0"/>
    <n v="0"/>
    <n v="0"/>
    <n v="0"/>
    <n v="0"/>
    <n v="17100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1"/>
  </r>
  <r>
    <s v="销售一部山西省"/>
    <x v="1"/>
    <s v="华北大区"/>
    <x v="10"/>
    <n v="0"/>
    <n v="0"/>
    <n v="5"/>
    <n v="4504"/>
    <n v="0"/>
    <n v="0"/>
    <n v="0"/>
    <n v="0"/>
    <n v="0"/>
    <n v="6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天津市"/>
    <x v="1"/>
    <s v="华北大区"/>
    <x v="11"/>
    <n v="0"/>
    <n v="0"/>
    <n v="50"/>
    <n v="9527"/>
    <n v="0"/>
    <n v="1698"/>
    <n v="0"/>
    <n v="22"/>
    <n v="0"/>
    <n v="1824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安徽省"/>
    <x v="1"/>
    <s v="华中大区"/>
    <x v="7"/>
    <n v="0"/>
    <n v="0"/>
    <n v="490"/>
    <n v="8610"/>
    <n v="0"/>
    <n v="0"/>
    <n v="0"/>
    <n v="0"/>
    <n v="0"/>
    <n v="13405"/>
    <n v="0"/>
    <n v="0"/>
    <n v="0"/>
    <n v="0"/>
    <n v="0"/>
    <n v="0"/>
    <n v="0"/>
    <n v="0"/>
    <n v="0"/>
    <n v="0"/>
    <n v="340"/>
    <n v="0"/>
    <n v="0"/>
    <n v="340"/>
    <n v="0"/>
    <n v="0"/>
    <n v="0"/>
    <n v="0"/>
    <n v="0"/>
    <n v="0"/>
    <n v="0"/>
    <n v="0"/>
    <x v="1"/>
  </r>
  <r>
    <s v="销售一部湖北省"/>
    <x v="1"/>
    <s v="华中大区"/>
    <x v="16"/>
    <n v="0"/>
    <n v="0"/>
    <n v="21598"/>
    <n v="0"/>
    <n v="0"/>
    <n v="0"/>
    <n v="0"/>
    <n v="0"/>
    <n v="0"/>
    <n v="21598"/>
    <n v="0"/>
    <n v="0"/>
    <n v="24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江西省"/>
    <x v="1"/>
    <s v="华中大区"/>
    <x v="8"/>
    <n v="0"/>
    <n v="0"/>
    <n v="10"/>
    <n v="820"/>
    <n v="0"/>
    <n v="840"/>
    <n v="0"/>
    <n v="3273"/>
    <n v="0"/>
    <n v="1540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江苏省"/>
    <x v="1"/>
    <s v="华中大区"/>
    <x v="0"/>
    <n v="0"/>
    <n v="0"/>
    <n v="319"/>
    <n v="29370"/>
    <n v="0"/>
    <n v="0"/>
    <n v="0"/>
    <n v="2742"/>
    <n v="0"/>
    <n v="54656.5"/>
    <n v="0"/>
    <n v="0"/>
    <n v="0"/>
    <n v="0"/>
    <n v="0"/>
    <n v="0"/>
    <n v="0"/>
    <n v="0"/>
    <n v="0"/>
    <n v="0"/>
    <n v="90"/>
    <n v="0"/>
    <n v="0"/>
    <n v="90"/>
    <n v="0"/>
    <n v="0"/>
    <n v="0"/>
    <n v="0"/>
    <n v="0"/>
    <n v="0"/>
    <n v="0"/>
    <n v="0"/>
    <x v="1"/>
  </r>
  <r>
    <s v="销售一部四川省"/>
    <x v="1"/>
    <s v="西南大区"/>
    <x v="18"/>
    <n v="0"/>
    <n v="0"/>
    <n v="7900"/>
    <n v="1680"/>
    <n v="0"/>
    <n v="0"/>
    <n v="0"/>
    <n v="0"/>
    <n v="0"/>
    <n v="10420"/>
    <n v="0"/>
    <n v="0"/>
    <n v="0"/>
    <n v="0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x v="1"/>
  </r>
  <r>
    <s v="销售一部云南省"/>
    <x v="1"/>
    <s v="西南大区"/>
    <x v="17"/>
    <n v="0"/>
    <n v="0"/>
    <n v="33"/>
    <n v="3783"/>
    <n v="0"/>
    <n v="0"/>
    <n v="0"/>
    <n v="3620"/>
    <n v="0"/>
    <n v="19282.5"/>
    <n v="0"/>
    <n v="0"/>
    <n v="0"/>
    <n v="0"/>
    <n v="0"/>
    <n v="0"/>
    <n v="0"/>
    <n v="0"/>
    <n v="80"/>
    <n v="80"/>
    <n v="280"/>
    <n v="0"/>
    <n v="0"/>
    <n v="280"/>
    <n v="0"/>
    <n v="0"/>
    <n v="0"/>
    <n v="0"/>
    <n v="0"/>
    <n v="0"/>
    <n v="0"/>
    <n v="0"/>
    <x v="1"/>
  </r>
  <r>
    <s v="销售一部重庆市"/>
    <x v="1"/>
    <s v="西南大区"/>
    <x v="19"/>
    <n v="0"/>
    <n v="0"/>
    <n v="58"/>
    <n v="4910"/>
    <n v="0"/>
    <n v="7740"/>
    <n v="0"/>
    <n v="192"/>
    <n v="0"/>
    <n v="25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二部北京市"/>
    <x v="2"/>
    <s v="销售二部"/>
    <x v="23"/>
    <n v="0"/>
    <n v="0"/>
    <n v="29"/>
    <n v="15810"/>
    <n v="0"/>
    <n v="0"/>
    <n v="0"/>
    <n v="150"/>
    <n v="31994"/>
    <n v="264261.5"/>
    <n v="0"/>
    <n v="0"/>
    <n v="0"/>
    <n v="1230"/>
    <n v="0"/>
    <n v="6867"/>
    <n v="18705"/>
    <n v="0"/>
    <n v="26270"/>
    <n v="26270"/>
    <n v="293"/>
    <n v="0"/>
    <n v="0"/>
    <n v="293"/>
    <n v="0"/>
    <n v="572"/>
    <n v="0"/>
    <n v="0"/>
    <n v="572"/>
    <n v="0"/>
    <n v="0"/>
    <n v="0"/>
    <x v="1"/>
  </r>
  <r>
    <s v="销售三部福建省"/>
    <x v="3"/>
    <s v="销售三部"/>
    <x v="24"/>
    <n v="0"/>
    <n v="0"/>
    <n v="0"/>
    <n v="29973"/>
    <n v="0"/>
    <n v="0"/>
    <n v="0"/>
    <n v="0"/>
    <n v="0"/>
    <n v="44959.5"/>
    <n v="0"/>
    <n v="0"/>
    <n v="0"/>
    <n v="0"/>
    <n v="0"/>
    <n v="0"/>
    <n v="0"/>
    <n v="0"/>
    <n v="0"/>
    <n v="0"/>
    <n v="170"/>
    <n v="0"/>
    <n v="0"/>
    <n v="170"/>
    <n v="0"/>
    <n v="0"/>
    <n v="0"/>
    <n v="0"/>
    <n v="0"/>
    <n v="0"/>
    <n v="0"/>
    <n v="0"/>
    <x v="1"/>
  </r>
  <r>
    <s v="销售三部浙江省"/>
    <x v="3"/>
    <s v="销售三部"/>
    <x v="25"/>
    <n v="30"/>
    <n v="85"/>
    <n v="234112"/>
    <n v="5080"/>
    <n v="0"/>
    <n v="0"/>
    <n v="0"/>
    <n v="0"/>
    <n v="0"/>
    <n v="241810.75"/>
    <n v="0"/>
    <n v="0"/>
    <n v="679"/>
    <n v="0"/>
    <n v="83048"/>
    <n v="0"/>
    <n v="125251"/>
    <n v="0"/>
    <n v="21199"/>
    <n v="21199"/>
    <n v="21927"/>
    <n v="0"/>
    <n v="0"/>
    <n v="21927"/>
    <n v="0"/>
    <n v="200"/>
    <n v="0"/>
    <n v="0"/>
    <n v="200"/>
    <n v="0"/>
    <n v="0"/>
    <n v="0"/>
    <x v="1"/>
  </r>
  <r>
    <s v="销售四部广东省"/>
    <x v="4"/>
    <s v="销售四部"/>
    <x v="26"/>
    <n v="0"/>
    <n v="0"/>
    <n v="3287"/>
    <n v="173688"/>
    <n v="0"/>
    <n v="0"/>
    <n v="0"/>
    <n v="0"/>
    <n v="0"/>
    <n v="263819"/>
    <n v="0"/>
    <n v="0"/>
    <n v="705"/>
    <n v="0"/>
    <n v="31769"/>
    <n v="3550"/>
    <n v="57233.5"/>
    <n v="0"/>
    <n v="34953"/>
    <n v="34953"/>
    <n v="1960"/>
    <n v="0"/>
    <n v="5"/>
    <n v="1970"/>
    <n v="0"/>
    <n v="627"/>
    <n v="0"/>
    <n v="0"/>
    <n v="627"/>
    <n v="0"/>
    <n v="0"/>
    <n v="0"/>
    <x v="1"/>
  </r>
  <r>
    <s v="销售四部海南省"/>
    <x v="4"/>
    <s v="销售四部"/>
    <x v="27"/>
    <n v="0"/>
    <n v="0"/>
    <n v="5"/>
    <n v="11221"/>
    <n v="0"/>
    <n v="0"/>
    <n v="0"/>
    <n v="0"/>
    <n v="0"/>
    <n v="16836.5"/>
    <n v="0"/>
    <n v="0"/>
    <n v="2635"/>
    <n v="0"/>
    <n v="0"/>
    <n v="0"/>
    <n v="2635"/>
    <n v="0"/>
    <n v="2730"/>
    <n v="2730"/>
    <n v="30"/>
    <n v="0"/>
    <n v="0"/>
    <n v="30"/>
    <n v="0"/>
    <n v="0"/>
    <n v="0"/>
    <n v="0"/>
    <n v="0"/>
    <n v="0"/>
    <n v="0"/>
    <n v="0"/>
    <x v="1"/>
  </r>
  <r>
    <s v="销售五部甘肃省"/>
    <x v="5"/>
    <s v="销售五部"/>
    <x v="28"/>
    <n v="0"/>
    <n v="0"/>
    <n v="9595"/>
    <n v="20990"/>
    <n v="0"/>
    <n v="0"/>
    <n v="0"/>
    <n v="0"/>
    <n v="0"/>
    <n v="41080"/>
    <n v="0"/>
    <n v="0"/>
    <n v="460"/>
    <n v="0"/>
    <n v="0"/>
    <n v="0"/>
    <n v="460"/>
    <n v="0"/>
    <n v="1640"/>
    <n v="1640"/>
    <n v="420"/>
    <n v="0"/>
    <n v="0"/>
    <n v="420"/>
    <n v="0"/>
    <n v="9"/>
    <n v="0"/>
    <n v="0"/>
    <n v="9"/>
    <n v="0"/>
    <n v="0"/>
    <n v="0"/>
    <x v="1"/>
  </r>
  <r>
    <s v="销售五部河南省"/>
    <x v="5"/>
    <s v="销售五部"/>
    <x v="29"/>
    <n v="0"/>
    <n v="0"/>
    <n v="10686"/>
    <n v="139148"/>
    <n v="0"/>
    <n v="0"/>
    <n v="0"/>
    <n v="0"/>
    <n v="0"/>
    <n v="219408"/>
    <n v="0"/>
    <n v="0"/>
    <n v="2072"/>
    <n v="0"/>
    <n v="0"/>
    <n v="0"/>
    <n v="2072"/>
    <n v="8502"/>
    <n v="10069"/>
    <n v="14320"/>
    <n v="1250"/>
    <n v="0"/>
    <n v="0"/>
    <n v="1250"/>
    <n v="0"/>
    <n v="570"/>
    <n v="0"/>
    <n v="0"/>
    <n v="570"/>
    <n v="0"/>
    <n v="0"/>
    <n v="0"/>
    <x v="1"/>
  </r>
  <r>
    <s v="销售五部陕西省"/>
    <x v="5"/>
    <s v="销售五部"/>
    <x v="2"/>
    <n v="0"/>
    <n v="0"/>
    <n v="304"/>
    <n v="29242"/>
    <n v="0"/>
    <n v="7025"/>
    <n v="0"/>
    <n v="48"/>
    <n v="0"/>
    <n v="60153.25"/>
    <n v="0"/>
    <n v="0"/>
    <n v="12"/>
    <n v="0"/>
    <n v="0"/>
    <n v="0"/>
    <n v="12"/>
    <n v="0"/>
    <n v="40"/>
    <n v="40"/>
    <n v="0"/>
    <n v="0"/>
    <n v="0"/>
    <n v="0"/>
    <n v="0"/>
    <n v="0"/>
    <n v="0"/>
    <n v="0"/>
    <n v="0"/>
    <n v="0"/>
    <n v="0"/>
    <n v="0"/>
    <x v="1"/>
  </r>
  <r>
    <s v="OTC浙江省"/>
    <x v="6"/>
    <m/>
    <x v="25"/>
    <n v="0"/>
    <n v="35715"/>
    <n v="0"/>
    <n v="0"/>
    <n v="0"/>
    <n v="0"/>
    <n v="960"/>
    <n v="0"/>
    <n v="0"/>
    <n v="29666.25"/>
    <n v="0"/>
    <n v="20"/>
    <n v="416"/>
    <n v="0"/>
    <n v="3996"/>
    <n v="0"/>
    <n v="6425"/>
    <n v="0"/>
    <n v="0"/>
    <n v="0"/>
    <n v="0"/>
    <n v="0"/>
    <n v="0"/>
    <n v="0"/>
    <n v="0"/>
    <n v="550"/>
    <n v="0"/>
    <n v="0"/>
    <n v="550"/>
    <n v="0"/>
    <n v="0"/>
    <n v="0"/>
    <x v="1"/>
  </r>
  <r>
    <s v="OTC安徽省"/>
    <x v="6"/>
    <m/>
    <x v="7"/>
    <n v="0"/>
    <n v="668"/>
    <n v="0"/>
    <n v="0"/>
    <n v="0"/>
    <n v="0"/>
    <n v="0"/>
    <n v="0"/>
    <n v="0"/>
    <n v="501"/>
    <n v="0"/>
    <n v="15"/>
    <n v="0"/>
    <n v="0"/>
    <n v="0"/>
    <n v="0"/>
    <n v="11.25"/>
    <n v="0"/>
    <n v="0"/>
    <n v="0"/>
    <n v="0"/>
    <n v="0"/>
    <n v="0"/>
    <n v="0"/>
    <n v="0"/>
    <n v="0"/>
    <n v="0"/>
    <n v="0"/>
    <n v="0"/>
    <n v="0"/>
    <n v="0"/>
    <n v="0"/>
    <x v="1"/>
  </r>
  <r>
    <s v="OTC江西省"/>
    <x v="6"/>
    <m/>
    <x v="8"/>
    <n v="0"/>
    <n v="10820"/>
    <n v="0"/>
    <n v="0"/>
    <n v="0"/>
    <n v="0"/>
    <n v="0"/>
    <n v="0"/>
    <n v="0"/>
    <n v="8115"/>
    <n v="0"/>
    <n v="1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x v="1"/>
  </r>
  <r>
    <s v="OTC江苏省"/>
    <x v="6"/>
    <m/>
    <x v="0"/>
    <n v="0"/>
    <n v="4375"/>
    <n v="0"/>
    <n v="0"/>
    <n v="0"/>
    <n v="0"/>
    <n v="0"/>
    <n v="0"/>
    <n v="0"/>
    <n v="3281.25"/>
    <n v="0"/>
    <n v="24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x v="1"/>
  </r>
  <r>
    <s v="OTC山东省"/>
    <x v="6"/>
    <m/>
    <x v="1"/>
    <n v="0"/>
    <n v="6800"/>
    <n v="360"/>
    <n v="0"/>
    <n v="0"/>
    <n v="0"/>
    <n v="0"/>
    <n v="0"/>
    <n v="0"/>
    <n v="5460"/>
    <n v="0"/>
    <n v="0"/>
    <n v="0"/>
    <n v="0"/>
    <n v="5"/>
    <n v="0"/>
    <n v="7.5"/>
    <n v="0"/>
    <n v="0"/>
    <n v="0"/>
    <n v="0"/>
    <n v="0"/>
    <n v="0"/>
    <n v="0"/>
    <n v="0"/>
    <n v="0"/>
    <n v="0"/>
    <n v="0"/>
    <n v="0"/>
    <n v="0"/>
    <n v="0"/>
    <n v="0"/>
    <x v="1"/>
  </r>
  <r>
    <s v="OTC福建省"/>
    <x v="6"/>
    <m/>
    <x v="24"/>
    <n v="0"/>
    <n v="8680"/>
    <n v="0"/>
    <n v="0"/>
    <n v="0"/>
    <n v="0"/>
    <n v="0"/>
    <n v="0"/>
    <n v="0"/>
    <n v="65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广东省"/>
    <x v="6"/>
    <m/>
    <x v="26"/>
    <n v="0"/>
    <n v="47016"/>
    <n v="0"/>
    <n v="0"/>
    <n v="0"/>
    <n v="0"/>
    <n v="0"/>
    <n v="0"/>
    <n v="0"/>
    <n v="35262"/>
    <n v="0"/>
    <n v="795"/>
    <n v="0"/>
    <n v="0"/>
    <n v="0"/>
    <n v="0"/>
    <n v="596.25"/>
    <n v="0"/>
    <n v="0"/>
    <n v="0"/>
    <n v="0"/>
    <n v="0"/>
    <n v="0"/>
    <n v="0"/>
    <n v="0"/>
    <n v="0"/>
    <n v="300"/>
    <n v="0"/>
    <n v="351"/>
    <n v="0"/>
    <n v="0"/>
    <n v="0"/>
    <x v="1"/>
  </r>
  <r>
    <s v="OTC海南省"/>
    <x v="6"/>
    <m/>
    <x v="27"/>
    <n v="0"/>
    <n v="810"/>
    <n v="0"/>
    <n v="0"/>
    <n v="0"/>
    <n v="0"/>
    <n v="0"/>
    <n v="0"/>
    <n v="0"/>
    <n v="60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湖南省"/>
    <x v="6"/>
    <m/>
    <x v="22"/>
    <n v="0"/>
    <n v="640"/>
    <n v="0"/>
    <n v="0"/>
    <n v="0"/>
    <n v="0"/>
    <n v="0"/>
    <n v="0"/>
    <n v="0"/>
    <n v="480"/>
    <n v="0"/>
    <n v="873"/>
    <n v="0"/>
    <n v="0"/>
    <n v="0"/>
    <n v="0"/>
    <n v="654.75"/>
    <n v="0"/>
    <n v="0"/>
    <n v="0"/>
    <n v="0"/>
    <n v="0"/>
    <n v="0"/>
    <n v="0"/>
    <n v="0"/>
    <n v="0"/>
    <n v="0"/>
    <n v="0"/>
    <n v="0"/>
    <n v="0"/>
    <n v="0"/>
    <n v="0"/>
    <x v="1"/>
  </r>
  <r>
    <s v="OTC湖北省"/>
    <x v="6"/>
    <m/>
    <x v="16"/>
    <n v="0"/>
    <n v="3820"/>
    <n v="0"/>
    <n v="0"/>
    <n v="0"/>
    <n v="0"/>
    <n v="0"/>
    <n v="0"/>
    <n v="0"/>
    <n v="2865"/>
    <n v="0"/>
    <n v="243"/>
    <n v="0"/>
    <n v="0"/>
    <n v="0"/>
    <n v="0"/>
    <n v="182.25"/>
    <n v="0"/>
    <n v="0"/>
    <n v="0"/>
    <n v="0"/>
    <n v="0"/>
    <n v="0"/>
    <n v="0"/>
    <n v="0"/>
    <n v="0"/>
    <n v="0"/>
    <n v="0"/>
    <n v="0"/>
    <n v="0"/>
    <n v="0"/>
    <n v="0"/>
    <x v="1"/>
  </r>
  <r>
    <s v="OTC广西壮族自治区"/>
    <x v="6"/>
    <m/>
    <x v="21"/>
    <n v="0"/>
    <n v="6082"/>
    <n v="0"/>
    <n v="0"/>
    <n v="0"/>
    <n v="0"/>
    <n v="0"/>
    <n v="0"/>
    <n v="0"/>
    <n v="456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贵州省"/>
    <x v="6"/>
    <m/>
    <x v="20"/>
    <n v="0"/>
    <n v="180"/>
    <n v="0"/>
    <n v="0"/>
    <n v="0"/>
    <n v="0"/>
    <n v="0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云南省"/>
    <x v="6"/>
    <m/>
    <x v="17"/>
    <n v="0"/>
    <n v="905"/>
    <n v="0"/>
    <n v="3133"/>
    <n v="0"/>
    <n v="0"/>
    <n v="0"/>
    <n v="0"/>
    <n v="0"/>
    <n v="5378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陕西省"/>
    <x v="6"/>
    <m/>
    <x v="2"/>
    <n v="0"/>
    <n v="8793"/>
    <n v="0"/>
    <n v="0"/>
    <n v="0"/>
    <n v="0"/>
    <n v="0"/>
    <n v="0"/>
    <n v="0"/>
    <n v="6594.75"/>
    <n v="0"/>
    <n v="1291"/>
    <n v="0"/>
    <n v="0"/>
    <n v="0"/>
    <n v="0"/>
    <n v="968.25"/>
    <n v="0"/>
    <n v="0"/>
    <n v="0"/>
    <n v="0"/>
    <n v="0"/>
    <n v="0"/>
    <n v="0"/>
    <n v="0"/>
    <n v="0"/>
    <n v="0"/>
    <n v="0"/>
    <n v="0"/>
    <n v="0"/>
    <n v="0"/>
    <n v="0"/>
    <x v="1"/>
  </r>
  <r>
    <s v="OTC四川省"/>
    <x v="6"/>
    <m/>
    <x v="18"/>
    <n v="0"/>
    <n v="2680"/>
    <n v="0"/>
    <n v="0"/>
    <n v="0"/>
    <n v="0"/>
    <n v="0"/>
    <n v="0"/>
    <n v="0"/>
    <n v="2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重庆市"/>
    <x v="6"/>
    <m/>
    <x v="19"/>
    <n v="0"/>
    <n v="540"/>
    <n v="0"/>
    <n v="0"/>
    <n v="0"/>
    <n v="0"/>
    <n v="0"/>
    <n v="0"/>
    <n v="0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甘肃省"/>
    <x v="6"/>
    <m/>
    <x v="28"/>
    <n v="0"/>
    <n v="8425"/>
    <n v="0"/>
    <n v="0"/>
    <n v="-102"/>
    <n v="0"/>
    <n v="0"/>
    <n v="0"/>
    <n v="0"/>
    <n v="6114.75"/>
    <n v="0"/>
    <n v="47"/>
    <n v="0"/>
    <n v="0"/>
    <n v="0"/>
    <n v="0"/>
    <n v="35.25"/>
    <n v="0"/>
    <n v="0"/>
    <n v="0"/>
    <n v="0"/>
    <n v="0"/>
    <n v="0"/>
    <n v="0"/>
    <n v="0"/>
    <n v="0"/>
    <n v="0"/>
    <n v="0"/>
    <n v="0"/>
    <n v="0"/>
    <n v="0"/>
    <n v="0"/>
    <x v="1"/>
  </r>
  <r>
    <s v="OTC北京市"/>
    <x v="6"/>
    <m/>
    <x v="23"/>
    <n v="0"/>
    <n v="4749"/>
    <n v="0"/>
    <n v="0"/>
    <n v="0"/>
    <n v="0"/>
    <n v="0"/>
    <n v="0"/>
    <n v="0"/>
    <n v="356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河北省"/>
    <x v="6"/>
    <m/>
    <x v="9"/>
    <n v="0"/>
    <n v="24937"/>
    <n v="0"/>
    <n v="0"/>
    <n v="7"/>
    <n v="0"/>
    <n v="0"/>
    <n v="0"/>
    <n v="0"/>
    <n v="18716.75"/>
    <n v="0"/>
    <n v="1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x v="1"/>
  </r>
  <r>
    <s v="OTC天津市"/>
    <x v="6"/>
    <m/>
    <x v="11"/>
    <n v="0"/>
    <n v="1310"/>
    <n v="205"/>
    <n v="0"/>
    <n v="0"/>
    <n v="0"/>
    <n v="0"/>
    <n v="0"/>
    <n v="0"/>
    <n v="11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河南省"/>
    <x v="6"/>
    <m/>
    <x v="29"/>
    <n v="0"/>
    <n v="33840"/>
    <n v="0"/>
    <n v="0"/>
    <n v="0"/>
    <n v="0"/>
    <n v="0"/>
    <n v="0"/>
    <n v="0"/>
    <n v="25380"/>
    <n v="0"/>
    <n v="8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x v="1"/>
  </r>
  <r>
    <s v="OTC山西省"/>
    <x v="6"/>
    <m/>
    <x v="10"/>
    <n v="0"/>
    <n v="15974"/>
    <n v="0"/>
    <n v="0"/>
    <n v="0"/>
    <n v="0"/>
    <n v="0"/>
    <n v="0"/>
    <n v="0"/>
    <n v="11980.5"/>
    <n v="0"/>
    <n v="118"/>
    <n v="0"/>
    <n v="0"/>
    <n v="0"/>
    <n v="0"/>
    <n v="88.5"/>
    <n v="0"/>
    <n v="0"/>
    <n v="0"/>
    <n v="0"/>
    <n v="0"/>
    <n v="0"/>
    <n v="0"/>
    <n v="0"/>
    <n v="0"/>
    <n v="0"/>
    <n v="0"/>
    <n v="0"/>
    <n v="0"/>
    <n v="0"/>
    <n v="0"/>
    <x v="1"/>
  </r>
  <r>
    <s v="OTC黑龙江省"/>
    <x v="6"/>
    <m/>
    <x v="12"/>
    <n v="0"/>
    <n v="5111"/>
    <n v="0"/>
    <n v="0"/>
    <n v="0"/>
    <n v="0"/>
    <n v="0"/>
    <n v="0"/>
    <n v="0"/>
    <n v="3833.25"/>
    <n v="0"/>
    <n v="0"/>
    <n v="0"/>
    <n v="0"/>
    <n v="0"/>
    <n v="0"/>
    <n v="0"/>
    <n v="0"/>
    <n v="0"/>
    <n v="0"/>
    <n v="0"/>
    <n v="0"/>
    <n v="0"/>
    <n v="0"/>
    <n v="0"/>
    <n v="0"/>
    <n v="900"/>
    <n v="0"/>
    <n v="1053"/>
    <n v="0"/>
    <n v="0"/>
    <n v="0"/>
    <x v="1"/>
  </r>
  <r>
    <s v="OTC吉林省"/>
    <x v="6"/>
    <m/>
    <x v="14"/>
    <n v="0"/>
    <n v="6010"/>
    <n v="0"/>
    <n v="0"/>
    <n v="0"/>
    <n v="0"/>
    <n v="0"/>
    <n v="0"/>
    <n v="0"/>
    <n v="450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辽宁省"/>
    <x v="6"/>
    <m/>
    <x v="13"/>
    <n v="0"/>
    <n v="7979"/>
    <n v="0"/>
    <n v="0"/>
    <n v="0"/>
    <n v="0"/>
    <n v="0"/>
    <n v="0"/>
    <n v="0"/>
    <n v="5984.25"/>
    <n v="0"/>
    <n v="481"/>
    <n v="0"/>
    <n v="0"/>
    <n v="0"/>
    <n v="0"/>
    <n v="360.75"/>
    <n v="0"/>
    <n v="0"/>
    <n v="0"/>
    <n v="0"/>
    <n v="0"/>
    <n v="0"/>
    <n v="0"/>
    <n v="0"/>
    <n v="0"/>
    <n v="0"/>
    <n v="0"/>
    <n v="0"/>
    <n v="0"/>
    <n v="0"/>
    <n v="0"/>
    <x v="1"/>
  </r>
  <r>
    <s v="电商部电商"/>
    <x v="7"/>
    <s v="电商部"/>
    <x v="30"/>
    <n v="0"/>
    <n v="8353"/>
    <n v="34590"/>
    <n v="6774"/>
    <n v="0"/>
    <n v="32486"/>
    <n v="0"/>
    <n v="0"/>
    <n v="153"/>
    <n v="125256.75"/>
    <n v="0"/>
    <n v="420"/>
    <n v="2332"/>
    <n v="0"/>
    <n v="15801"/>
    <n v="0"/>
    <n v="26348.5"/>
    <n v="0"/>
    <n v="15779"/>
    <n v="15779"/>
    <n v="718"/>
    <n v="0"/>
    <n v="0"/>
    <n v="718"/>
    <n v="0"/>
    <n v="0"/>
    <n v="0"/>
    <n v="0"/>
    <n v="0"/>
    <n v="0"/>
    <n v="1970"/>
    <n v="3447.5"/>
    <x v="1"/>
  </r>
  <r>
    <s v="上海事业部上海市"/>
    <x v="8"/>
    <s v="上海大包"/>
    <x v="31"/>
    <n v="0"/>
    <n v="0"/>
    <n v="63977.22"/>
    <n v="67333.33"/>
    <n v="0"/>
    <n v="0"/>
    <n v="0"/>
    <n v="0"/>
    <n v="0"/>
    <n v="164977.215"/>
    <n v="3599"/>
    <n v="0"/>
    <n v="41929"/>
    <n v="0"/>
    <n v="800"/>
    <n v="0"/>
    <n v="44928.5"/>
    <n v="0"/>
    <n v="39638"/>
    <n v="39638"/>
    <n v="0"/>
    <n v="0"/>
    <n v="0"/>
    <n v="0"/>
    <n v="0"/>
    <n v="94"/>
    <n v="0"/>
    <n v="0"/>
    <n v="94"/>
    <n v="0"/>
    <n v="0"/>
    <n v="0"/>
    <x v="1"/>
  </r>
  <r>
    <s v="商务部河南省"/>
    <x v="9"/>
    <s v="商务部"/>
    <x v="29"/>
    <n v="0"/>
    <n v="3653"/>
    <n v="0"/>
    <n v="0"/>
    <n v="0"/>
    <n v="0"/>
    <n v="0"/>
    <n v="0"/>
    <n v="0"/>
    <n v="273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陕西省"/>
    <x v="9"/>
    <s v="商务部"/>
    <x v="2"/>
    <n v="0"/>
    <n v="19260"/>
    <n v="840"/>
    <n v="0"/>
    <n v="0"/>
    <n v="0"/>
    <n v="0"/>
    <n v="0"/>
    <n v="0"/>
    <n v="15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湖北省"/>
    <x v="9"/>
    <s v="商务部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安徽省"/>
    <x v="9"/>
    <s v="商务部"/>
    <x v="7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山东省"/>
    <x v="9"/>
    <s v="商务部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广东省"/>
    <x v="9"/>
    <s v="商务部"/>
    <x v="26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江苏省"/>
    <x v="9"/>
    <s v="商务部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重庆市"/>
    <x v="9"/>
    <s v="商务部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四川省"/>
    <x v="9"/>
    <s v="商务部"/>
    <x v="18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湖南省"/>
    <x v="9"/>
    <s v="商务部"/>
    <x v="22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浙江省"/>
    <x v="9"/>
    <s v="商务部"/>
    <x v="25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北京市"/>
    <x v="9"/>
    <s v="商务部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河北省"/>
    <x v="9"/>
    <s v="商务部"/>
    <x v="9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黑龙江省"/>
    <x v="9"/>
    <s v="商务部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吉林省"/>
    <x v="9"/>
    <s v="商务部"/>
    <x v="14"/>
    <n v="0"/>
    <n v="1980"/>
    <n v="0"/>
    <n v="0"/>
    <n v="0"/>
    <n v="0"/>
    <n v="0"/>
    <n v="0"/>
    <n v="0"/>
    <n v="14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江西省"/>
    <x v="9"/>
    <s v="商务部"/>
    <x v="8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辽宁省"/>
    <x v="9"/>
    <s v="商务部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山西省"/>
    <x v="9"/>
    <s v="商务部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福建省"/>
    <x v="9"/>
    <s v="商务部"/>
    <x v="24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营销总部浙江省"/>
    <x v="10"/>
    <s v="营销总部"/>
    <x v="25"/>
    <n v="50"/>
    <n v="4565"/>
    <n v="8600"/>
    <n v="749"/>
    <n v="0"/>
    <n v="11"/>
    <n v="0"/>
    <n v="20"/>
    <n v="20"/>
    <n v="13422"/>
    <n v="47"/>
    <n v="88"/>
    <n v="404"/>
    <n v="63"/>
    <n v="1103"/>
    <n v="17"/>
    <n v="2269.25"/>
    <n v="268"/>
    <n v="-16"/>
    <n v="118"/>
    <n v="2412"/>
    <n v="0"/>
    <n v="1041"/>
    <n v="4494"/>
    <n v="0"/>
    <n v="712"/>
    <n v="0"/>
    <n v="0"/>
    <n v="712"/>
    <n v="0"/>
    <n v="0"/>
    <n v="0"/>
    <x v="1"/>
  </r>
  <r>
    <s v="代理事业部江苏省"/>
    <x v="0"/>
    <s v="招商1区"/>
    <x v="0"/>
    <n v="0"/>
    <n v="0"/>
    <n v="4963"/>
    <n v="87764"/>
    <n v="0"/>
    <n v="0"/>
    <n v="0"/>
    <n v="6407"/>
    <n v="0"/>
    <n v="160635.25"/>
    <n v="0"/>
    <n v="0"/>
    <n v="0"/>
    <n v="2204"/>
    <n v="14309"/>
    <n v="28558"/>
    <n v="95613.5"/>
    <n v="0"/>
    <n v="24434"/>
    <n v="24434"/>
    <n v="80"/>
    <n v="0"/>
    <n v="0"/>
    <n v="80"/>
    <n v="0"/>
    <n v="621"/>
    <n v="0"/>
    <n v="0"/>
    <n v="621"/>
    <n v="0"/>
    <n v="0"/>
    <n v="0"/>
    <x v="2"/>
  </r>
  <r>
    <s v="代理事业部山东省"/>
    <x v="0"/>
    <s v="招商2区"/>
    <x v="1"/>
    <n v="0"/>
    <n v="0"/>
    <n v="71384"/>
    <n v="2493"/>
    <n v="0"/>
    <n v="0"/>
    <n v="0"/>
    <n v="0"/>
    <n v="0"/>
    <n v="75123.5"/>
    <n v="0"/>
    <n v="0"/>
    <n v="1455"/>
    <n v="0"/>
    <n v="21497"/>
    <n v="2730"/>
    <n v="40525.5"/>
    <n v="1007"/>
    <n v="3964"/>
    <n v="4467.5"/>
    <n v="0"/>
    <n v="0"/>
    <n v="0"/>
    <n v="0"/>
    <n v="0"/>
    <n v="1085"/>
    <n v="0"/>
    <n v="0"/>
    <n v="1085"/>
    <n v="0"/>
    <n v="0"/>
    <n v="0"/>
    <x v="2"/>
  </r>
  <r>
    <s v="代理事业部陕西省"/>
    <x v="0"/>
    <s v="招商2区"/>
    <x v="2"/>
    <n v="0"/>
    <n v="0"/>
    <n v="1715"/>
    <n v="13730"/>
    <n v="0"/>
    <n v="3977"/>
    <n v="0"/>
    <n v="10"/>
    <n v="0"/>
    <n v="31295.75"/>
    <n v="0"/>
    <n v="0"/>
    <n v="0"/>
    <n v="0"/>
    <n v="0"/>
    <n v="0"/>
    <n v="0"/>
    <n v="0"/>
    <n v="5027"/>
    <n v="5027"/>
    <n v="0"/>
    <n v="0"/>
    <n v="0"/>
    <n v="0"/>
    <n v="0"/>
    <n v="0"/>
    <n v="0"/>
    <n v="0"/>
    <n v="0"/>
    <n v="0"/>
    <n v="0"/>
    <n v="0"/>
    <x v="2"/>
  </r>
  <r>
    <s v="代理事业部宁夏回族自治区"/>
    <x v="0"/>
    <s v="招商2区"/>
    <x v="3"/>
    <n v="0"/>
    <n v="0"/>
    <n v="4020"/>
    <n v="9448"/>
    <n v="0"/>
    <n v="0"/>
    <n v="0"/>
    <n v="0"/>
    <n v="0"/>
    <n v="18192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x v="2"/>
  </r>
  <r>
    <s v="代理事业部青海省"/>
    <x v="0"/>
    <s v="招商2区"/>
    <x v="4"/>
    <n v="0"/>
    <n v="0"/>
    <n v="351"/>
    <n v="4175"/>
    <n v="0"/>
    <n v="0"/>
    <n v="0"/>
    <n v="0"/>
    <n v="0"/>
    <n v="6613.5"/>
    <n v="0"/>
    <n v="0"/>
    <n v="0"/>
    <n v="0"/>
    <n v="0"/>
    <n v="240"/>
    <n v="600"/>
    <n v="0"/>
    <n v="3392"/>
    <n v="3392"/>
    <n v="0"/>
    <n v="0"/>
    <n v="0"/>
    <n v="0"/>
    <n v="0"/>
    <n v="0"/>
    <n v="0"/>
    <n v="0"/>
    <n v="0"/>
    <n v="0"/>
    <n v="0"/>
    <n v="0"/>
    <x v="2"/>
  </r>
  <r>
    <s v="代理事业部西藏自治区"/>
    <x v="0"/>
    <s v="招商6区"/>
    <x v="5"/>
    <n v="0"/>
    <n v="0"/>
    <n v="180"/>
    <n v="0"/>
    <n v="0"/>
    <n v="0"/>
    <n v="0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代理事业部新疆维吾尔自治区"/>
    <x v="0"/>
    <s v="招商2区"/>
    <x v="6"/>
    <n v="0"/>
    <n v="0"/>
    <n v="5544"/>
    <n v="7904"/>
    <n v="0"/>
    <n v="5470"/>
    <n v="0"/>
    <n v="0"/>
    <n v="0"/>
    <n v="29707.5"/>
    <n v="0"/>
    <n v="0"/>
    <n v="1088"/>
    <n v="0"/>
    <n v="0"/>
    <n v="0"/>
    <n v="1088"/>
    <n v="0"/>
    <n v="4053"/>
    <n v="4053"/>
    <n v="0"/>
    <n v="0"/>
    <n v="0"/>
    <n v="0"/>
    <n v="0"/>
    <n v="0"/>
    <n v="0"/>
    <n v="0"/>
    <n v="0"/>
    <n v="0"/>
    <n v="0"/>
    <n v="0"/>
    <x v="2"/>
  </r>
  <r>
    <s v="代理事业部安徽省"/>
    <x v="0"/>
    <s v="招商3区"/>
    <x v="7"/>
    <n v="0"/>
    <n v="0"/>
    <n v="8202"/>
    <n v="18852"/>
    <n v="0"/>
    <n v="0"/>
    <n v="0"/>
    <n v="0"/>
    <n v="0"/>
    <n v="36480"/>
    <n v="1500"/>
    <n v="0"/>
    <n v="10091"/>
    <n v="500"/>
    <n v="6720"/>
    <n v="0"/>
    <n v="21546"/>
    <n v="0"/>
    <n v="2106"/>
    <n v="2106"/>
    <n v="50"/>
    <n v="0"/>
    <n v="0"/>
    <n v="50"/>
    <n v="0"/>
    <n v="1580"/>
    <n v="0"/>
    <n v="0"/>
    <n v="1580"/>
    <n v="0"/>
    <n v="0"/>
    <n v="0"/>
    <x v="2"/>
  </r>
  <r>
    <s v="代理事业部江西省"/>
    <x v="0"/>
    <s v="招商3区"/>
    <x v="8"/>
    <n v="0"/>
    <n v="0"/>
    <n v="0"/>
    <n v="16666"/>
    <n v="0"/>
    <n v="612"/>
    <n v="0"/>
    <n v="11"/>
    <n v="0"/>
    <n v="26417.25"/>
    <n v="0"/>
    <n v="0"/>
    <n v="240"/>
    <n v="320"/>
    <n v="0"/>
    <n v="0"/>
    <n v="640"/>
    <n v="0"/>
    <n v="10827"/>
    <n v="10827"/>
    <n v="0"/>
    <n v="0"/>
    <n v="0"/>
    <n v="0"/>
    <n v="0"/>
    <n v="470"/>
    <n v="0"/>
    <n v="0"/>
    <n v="470"/>
    <n v="0"/>
    <n v="0"/>
    <n v="0"/>
    <x v="2"/>
  </r>
  <r>
    <s v="代理事业部河北省"/>
    <x v="0"/>
    <s v="招商3区"/>
    <x v="9"/>
    <n v="0"/>
    <n v="0"/>
    <n v="40"/>
    <n v="73296"/>
    <n v="0"/>
    <n v="0"/>
    <n v="0"/>
    <n v="0"/>
    <n v="0"/>
    <n v="109984"/>
    <n v="0"/>
    <n v="0"/>
    <n v="45"/>
    <n v="0"/>
    <n v="0"/>
    <n v="0"/>
    <n v="45"/>
    <n v="0"/>
    <n v="11795"/>
    <n v="11795"/>
    <n v="220"/>
    <n v="0"/>
    <n v="0"/>
    <n v="220"/>
    <n v="0"/>
    <n v="10"/>
    <n v="0"/>
    <n v="0"/>
    <n v="10"/>
    <n v="0"/>
    <n v="0"/>
    <n v="0"/>
    <x v="2"/>
  </r>
  <r>
    <s v="代理事业部山西省"/>
    <x v="0"/>
    <s v="招商3区"/>
    <x v="10"/>
    <n v="0"/>
    <n v="0"/>
    <n v="0"/>
    <n v="20794"/>
    <n v="0"/>
    <n v="0"/>
    <n v="0"/>
    <n v="0"/>
    <n v="0"/>
    <n v="31191"/>
    <n v="0"/>
    <n v="0"/>
    <n v="8554"/>
    <n v="0"/>
    <n v="2383"/>
    <n v="0"/>
    <n v="12128.5"/>
    <n v="0"/>
    <n v="897"/>
    <n v="897"/>
    <n v="290"/>
    <n v="0"/>
    <n v="0"/>
    <n v="290"/>
    <n v="0"/>
    <n v="130"/>
    <n v="0"/>
    <n v="0"/>
    <n v="130"/>
    <n v="0"/>
    <n v="0"/>
    <n v="0"/>
    <x v="2"/>
  </r>
  <r>
    <s v="代理事业部天津市"/>
    <x v="0"/>
    <s v="招商3区"/>
    <x v="11"/>
    <n v="0"/>
    <n v="0"/>
    <n v="40"/>
    <n v="14338"/>
    <n v="0"/>
    <n v="5512"/>
    <n v="0"/>
    <n v="20"/>
    <n v="0"/>
    <n v="34024"/>
    <n v="0"/>
    <n v="0"/>
    <n v="1195"/>
    <n v="0"/>
    <n v="1399"/>
    <n v="0"/>
    <n v="3293.5"/>
    <n v="0"/>
    <n v="1192"/>
    <n v="1192"/>
    <n v="10"/>
    <n v="0"/>
    <n v="0"/>
    <n v="10"/>
    <n v="0"/>
    <n v="0"/>
    <n v="0"/>
    <n v="0"/>
    <n v="0"/>
    <n v="0"/>
    <n v="0"/>
    <n v="0"/>
    <x v="2"/>
  </r>
  <r>
    <s v="代理事业部黑龙江省"/>
    <x v="0"/>
    <s v="招商4区"/>
    <x v="12"/>
    <n v="0"/>
    <n v="0"/>
    <n v="1294"/>
    <n v="6333"/>
    <n v="0"/>
    <n v="4710"/>
    <n v="0"/>
    <n v="826"/>
    <n v="0"/>
    <n v="24488.5"/>
    <n v="0"/>
    <n v="0"/>
    <n v="135"/>
    <n v="0"/>
    <n v="100"/>
    <n v="7072"/>
    <n v="17965"/>
    <n v="0"/>
    <n v="400"/>
    <n v="400"/>
    <n v="0"/>
    <n v="0"/>
    <n v="0"/>
    <n v="0"/>
    <n v="0"/>
    <n v="0"/>
    <n v="0"/>
    <n v="0"/>
    <n v="0"/>
    <n v="0"/>
    <n v="0"/>
    <n v="0"/>
    <x v="2"/>
  </r>
  <r>
    <s v="代理事业部辽宁省"/>
    <x v="0"/>
    <s v="招商4区"/>
    <x v="13"/>
    <n v="0"/>
    <n v="0"/>
    <n v="-100"/>
    <n v="31635"/>
    <n v="0"/>
    <n v="2930"/>
    <n v="0"/>
    <n v="48"/>
    <n v="0"/>
    <n v="54125"/>
    <n v="0"/>
    <n v="0"/>
    <n v="235"/>
    <n v="20"/>
    <n v="0"/>
    <n v="0"/>
    <n v="260"/>
    <n v="0"/>
    <n v="3280"/>
    <n v="3280"/>
    <n v="20"/>
    <n v="0"/>
    <n v="0"/>
    <n v="20"/>
    <n v="0"/>
    <n v="0"/>
    <n v="0"/>
    <n v="0"/>
    <n v="0"/>
    <n v="0"/>
    <n v="0"/>
    <n v="0"/>
    <x v="2"/>
  </r>
  <r>
    <s v="代理事业部吉林省"/>
    <x v="0"/>
    <s v="招商4区"/>
    <x v="14"/>
    <n v="0"/>
    <n v="0"/>
    <n v="57"/>
    <n v="9028"/>
    <n v="0"/>
    <n v="2784"/>
    <n v="0"/>
    <n v="138"/>
    <n v="0"/>
    <n v="20380.5"/>
    <n v="0"/>
    <n v="0"/>
    <n v="0"/>
    <n v="0"/>
    <n v="1320"/>
    <n v="0"/>
    <n v="1980"/>
    <n v="0"/>
    <n v="480"/>
    <n v="480"/>
    <n v="0"/>
    <n v="0"/>
    <n v="0"/>
    <n v="0"/>
    <n v="0"/>
    <n v="0"/>
    <n v="0"/>
    <n v="0"/>
    <n v="0"/>
    <n v="0"/>
    <n v="0"/>
    <n v="0"/>
    <x v="2"/>
  </r>
  <r>
    <s v="代理事业部内蒙古自治区"/>
    <x v="0"/>
    <s v="招商4区"/>
    <x v="15"/>
    <n v="0"/>
    <n v="0"/>
    <n v="729"/>
    <n v="23133"/>
    <n v="0"/>
    <n v="0"/>
    <n v="0"/>
    <n v="0"/>
    <n v="0"/>
    <n v="35428.5"/>
    <n v="0"/>
    <n v="0"/>
    <n v="0"/>
    <n v="0"/>
    <n v="0"/>
    <n v="0"/>
    <n v="0"/>
    <n v="0"/>
    <n v="1475"/>
    <n v="1475"/>
    <n v="710"/>
    <n v="0"/>
    <n v="0"/>
    <n v="710"/>
    <n v="0"/>
    <n v="0"/>
    <n v="0"/>
    <n v="0"/>
    <n v="0"/>
    <n v="0"/>
    <n v="0"/>
    <n v="0"/>
    <x v="2"/>
  </r>
  <r>
    <s v="代理事业部湖北省"/>
    <x v="0"/>
    <s v="招商5区"/>
    <x v="16"/>
    <n v="0"/>
    <n v="0"/>
    <n v="39750"/>
    <n v="7410"/>
    <n v="0"/>
    <n v="0"/>
    <n v="0"/>
    <n v="0"/>
    <n v="0"/>
    <n v="50865"/>
    <n v="0"/>
    <n v="0"/>
    <n v="1711"/>
    <n v="0"/>
    <n v="0"/>
    <n v="0"/>
    <n v="1711"/>
    <n v="0"/>
    <n v="27187"/>
    <n v="27187"/>
    <n v="920"/>
    <n v="0"/>
    <n v="0"/>
    <n v="920"/>
    <n v="0"/>
    <n v="2200"/>
    <n v="0"/>
    <n v="0"/>
    <n v="2200"/>
    <n v="0"/>
    <n v="0"/>
    <n v="0"/>
    <x v="2"/>
  </r>
  <r>
    <s v="代理事业部云南省"/>
    <x v="0"/>
    <s v="招商5区"/>
    <x v="17"/>
    <n v="0"/>
    <n v="0"/>
    <n v="0"/>
    <n v="17746"/>
    <n v="0"/>
    <n v="0"/>
    <n v="0"/>
    <n v="982"/>
    <n v="0"/>
    <n v="30301.5"/>
    <n v="8664"/>
    <n v="0"/>
    <n v="5636"/>
    <n v="673"/>
    <n v="2465"/>
    <n v="0"/>
    <n v="14506.75"/>
    <n v="0"/>
    <n v="412"/>
    <n v="412"/>
    <n v="0"/>
    <n v="0"/>
    <n v="0"/>
    <n v="0"/>
    <n v="0"/>
    <n v="-10"/>
    <n v="0"/>
    <n v="0"/>
    <n v="-10"/>
    <n v="0"/>
    <n v="0"/>
    <n v="0"/>
    <x v="2"/>
  </r>
  <r>
    <s v="代理事业部四川省"/>
    <x v="0"/>
    <s v="招商6区"/>
    <x v="18"/>
    <n v="0"/>
    <n v="0"/>
    <n v="82025"/>
    <n v="4590"/>
    <n v="0"/>
    <n v="0"/>
    <n v="0"/>
    <n v="0"/>
    <n v="0"/>
    <n v="88910"/>
    <n v="0"/>
    <n v="0"/>
    <n v="3882"/>
    <n v="0"/>
    <n v="0"/>
    <n v="0"/>
    <n v="3882"/>
    <n v="0"/>
    <n v="5780"/>
    <n v="5780"/>
    <n v="540"/>
    <n v="0"/>
    <n v="0"/>
    <n v="540"/>
    <n v="0"/>
    <n v="1260"/>
    <n v="0"/>
    <n v="0"/>
    <n v="1260"/>
    <n v="0"/>
    <n v="0"/>
    <n v="0"/>
    <x v="2"/>
  </r>
  <r>
    <s v="代理事业部重庆市"/>
    <x v="0"/>
    <s v="招商6区"/>
    <x v="19"/>
    <n v="0"/>
    <n v="0"/>
    <n v="987"/>
    <n v="20760"/>
    <n v="0"/>
    <n v="275"/>
    <n v="0"/>
    <n v="50"/>
    <n v="0"/>
    <n v="32933.25"/>
    <n v="0"/>
    <n v="0"/>
    <n v="1063"/>
    <n v="0"/>
    <n v="0"/>
    <n v="0"/>
    <n v="1063"/>
    <n v="0"/>
    <n v="7960"/>
    <n v="7960"/>
    <n v="0"/>
    <n v="0"/>
    <n v="0"/>
    <n v="0"/>
    <n v="0"/>
    <n v="0"/>
    <n v="0"/>
    <n v="0"/>
    <n v="0"/>
    <n v="0"/>
    <n v="0"/>
    <n v="0"/>
    <x v="2"/>
  </r>
  <r>
    <s v="代理事业部贵州省"/>
    <x v="0"/>
    <s v="招商6区"/>
    <x v="20"/>
    <n v="0"/>
    <n v="0"/>
    <n v="20"/>
    <n v="4618"/>
    <n v="0"/>
    <n v="6834"/>
    <n v="0"/>
    <n v="-600"/>
    <n v="0"/>
    <n v="20073.5"/>
    <n v="0"/>
    <n v="0"/>
    <n v="0"/>
    <n v="220"/>
    <n v="0"/>
    <n v="0"/>
    <n v="275"/>
    <n v="0"/>
    <n v="630"/>
    <n v="630"/>
    <n v="0"/>
    <n v="0"/>
    <n v="0"/>
    <n v="0"/>
    <n v="0"/>
    <n v="50"/>
    <n v="0"/>
    <n v="0"/>
    <n v="50"/>
    <n v="0"/>
    <n v="0"/>
    <n v="0"/>
    <x v="2"/>
  </r>
  <r>
    <s v="代理事业部广西壮族自治区"/>
    <x v="0"/>
    <s v="招商7区"/>
    <x v="21"/>
    <n v="0"/>
    <n v="0"/>
    <n v="0"/>
    <n v="23696"/>
    <n v="0"/>
    <n v="0"/>
    <n v="0"/>
    <n v="0"/>
    <n v="0"/>
    <n v="35544"/>
    <n v="0"/>
    <n v="0"/>
    <n v="8240"/>
    <n v="0"/>
    <n v="2341"/>
    <n v="0"/>
    <n v="11751.5"/>
    <n v="2268"/>
    <n v="0"/>
    <n v="1134"/>
    <n v="0"/>
    <n v="0"/>
    <n v="0"/>
    <n v="0"/>
    <n v="0"/>
    <n v="1960"/>
    <n v="0"/>
    <n v="0"/>
    <n v="1960"/>
    <n v="0"/>
    <n v="0"/>
    <n v="0"/>
    <x v="2"/>
  </r>
  <r>
    <s v="代理事业部湖南省"/>
    <x v="0"/>
    <s v="招商7区"/>
    <x v="22"/>
    <n v="0"/>
    <n v="0"/>
    <n v="0"/>
    <n v="37203"/>
    <n v="0"/>
    <n v="30"/>
    <n v="0"/>
    <n v="0"/>
    <n v="0"/>
    <n v="55872"/>
    <n v="0"/>
    <n v="0"/>
    <n v="3910"/>
    <n v="0"/>
    <n v="0"/>
    <n v="0"/>
    <n v="3910"/>
    <n v="0"/>
    <n v="7352"/>
    <n v="7352"/>
    <n v="0"/>
    <n v="0"/>
    <n v="0"/>
    <n v="0"/>
    <n v="0"/>
    <n v="0"/>
    <n v="0"/>
    <n v="0"/>
    <n v="0"/>
    <n v="0"/>
    <n v="0"/>
    <n v="0"/>
    <x v="2"/>
  </r>
  <r>
    <s v="销售一部河北省"/>
    <x v="1"/>
    <s v="华北大区"/>
    <x v="9"/>
    <n v="0"/>
    <n v="0"/>
    <n v="36"/>
    <n v="38924"/>
    <n v="0"/>
    <n v="0"/>
    <n v="0"/>
    <n v="0"/>
    <n v="0"/>
    <n v="58422"/>
    <n v="0"/>
    <n v="0"/>
    <n v="10"/>
    <n v="0"/>
    <n v="0"/>
    <n v="0"/>
    <n v="10"/>
    <n v="0"/>
    <n v="510"/>
    <n v="510"/>
    <n v="870"/>
    <n v="0"/>
    <n v="0"/>
    <n v="870"/>
    <n v="0"/>
    <n v="0"/>
    <n v="0"/>
    <n v="0"/>
    <n v="0"/>
    <n v="0"/>
    <n v="0"/>
    <n v="0"/>
    <x v="2"/>
  </r>
  <r>
    <s v="销售一部黑龙江省"/>
    <x v="1"/>
    <s v="华北大区"/>
    <x v="12"/>
    <n v="0"/>
    <n v="0"/>
    <n v="284"/>
    <n v="7660"/>
    <n v="0"/>
    <n v="4260"/>
    <n v="0"/>
    <n v="1824"/>
    <n v="0"/>
    <n v="28199"/>
    <n v="0"/>
    <n v="0"/>
    <n v="0"/>
    <n v="0"/>
    <n v="0"/>
    <n v="0"/>
    <n v="0"/>
    <n v="0"/>
    <n v="0"/>
    <n v="0"/>
    <n v="520"/>
    <n v="0"/>
    <n v="0"/>
    <n v="520"/>
    <n v="0"/>
    <n v="0"/>
    <n v="0"/>
    <n v="0"/>
    <n v="0"/>
    <n v="0"/>
    <n v="0"/>
    <n v="0"/>
    <x v="2"/>
  </r>
  <r>
    <s v="销售一部吉林省"/>
    <x v="1"/>
    <s v="华北大区"/>
    <x v="14"/>
    <n v="0"/>
    <n v="0"/>
    <n v="42"/>
    <n v="0"/>
    <n v="0"/>
    <n v="300"/>
    <n v="0"/>
    <n v="5939"/>
    <n v="0"/>
    <n v="22988.25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2"/>
  </r>
  <r>
    <s v="销售一部辽宁省"/>
    <x v="1"/>
    <s v="华北大区"/>
    <x v="13"/>
    <n v="0"/>
    <n v="0"/>
    <n v="281"/>
    <n v="2310"/>
    <n v="0"/>
    <n v="-250"/>
    <n v="0"/>
    <n v="2976"/>
    <n v="0"/>
    <n v="14343.5"/>
    <n v="0"/>
    <n v="0"/>
    <n v="0"/>
    <n v="0"/>
    <n v="0"/>
    <n v="0"/>
    <n v="0"/>
    <n v="0"/>
    <n v="0"/>
    <n v="0"/>
    <n v="280"/>
    <n v="0"/>
    <n v="0"/>
    <n v="280"/>
    <n v="0"/>
    <n v="0"/>
    <n v="0"/>
    <n v="0"/>
    <n v="0"/>
    <n v="0"/>
    <n v="0"/>
    <n v="0"/>
    <x v="2"/>
  </r>
  <r>
    <s v="销售一部山东省"/>
    <x v="1"/>
    <s v="华北大区"/>
    <x v="1"/>
    <n v="0"/>
    <n v="0"/>
    <n v="15381"/>
    <n v="12220"/>
    <n v="0"/>
    <n v="0"/>
    <n v="0"/>
    <n v="0"/>
    <n v="0"/>
    <n v="33711"/>
    <n v="0"/>
    <n v="0"/>
    <n v="0"/>
    <n v="0"/>
    <n v="0"/>
    <n v="0"/>
    <n v="0"/>
    <n v="0"/>
    <n v="0"/>
    <n v="0"/>
    <n v="570"/>
    <n v="0"/>
    <n v="0"/>
    <n v="570"/>
    <n v="0"/>
    <n v="0"/>
    <n v="0"/>
    <n v="0"/>
    <n v="0"/>
    <n v="0"/>
    <n v="0"/>
    <n v="0"/>
    <x v="2"/>
  </r>
  <r>
    <s v="销售一部山西省"/>
    <x v="1"/>
    <s v="华北大区"/>
    <x v="10"/>
    <n v="0"/>
    <n v="0"/>
    <n v="0"/>
    <n v="6383"/>
    <n v="0"/>
    <n v="0"/>
    <n v="0"/>
    <n v="0"/>
    <n v="0"/>
    <n v="9574.5"/>
    <n v="0"/>
    <n v="0"/>
    <n v="0"/>
    <n v="0"/>
    <n v="0"/>
    <n v="0"/>
    <n v="0"/>
    <n v="0"/>
    <n v="0"/>
    <n v="0"/>
    <n v="30"/>
    <n v="0"/>
    <n v="0"/>
    <n v="30"/>
    <n v="0"/>
    <n v="0"/>
    <n v="0"/>
    <n v="0"/>
    <n v="0"/>
    <n v="0"/>
    <n v="0"/>
    <n v="0"/>
    <x v="2"/>
  </r>
  <r>
    <s v="销售一部天津市"/>
    <x v="1"/>
    <s v="华北大区"/>
    <x v="11"/>
    <n v="0"/>
    <n v="0"/>
    <n v="1"/>
    <n v="5413"/>
    <n v="0"/>
    <n v="3500"/>
    <n v="0"/>
    <n v="2036"/>
    <n v="0"/>
    <n v="23630.5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2"/>
  </r>
  <r>
    <s v="销售一部安徽省"/>
    <x v="1"/>
    <s v="华中大区"/>
    <x v="7"/>
    <n v="0"/>
    <n v="0"/>
    <n v="260"/>
    <n v="25080"/>
    <n v="0"/>
    <n v="0"/>
    <n v="0"/>
    <n v="0"/>
    <n v="0"/>
    <n v="37880"/>
    <n v="0"/>
    <n v="0"/>
    <n v="0"/>
    <n v="0"/>
    <n v="0"/>
    <n v="0"/>
    <n v="0"/>
    <n v="0"/>
    <n v="0"/>
    <n v="0"/>
    <n v="536"/>
    <n v="0"/>
    <n v="0"/>
    <n v="536"/>
    <n v="0"/>
    <n v="0"/>
    <n v="0"/>
    <n v="0"/>
    <n v="0"/>
    <n v="0"/>
    <n v="0"/>
    <n v="0"/>
    <x v="2"/>
  </r>
  <r>
    <s v="销售一部湖北省"/>
    <x v="1"/>
    <s v="华中大区"/>
    <x v="16"/>
    <n v="0"/>
    <n v="0"/>
    <n v="46872"/>
    <n v="0"/>
    <n v="0"/>
    <n v="0"/>
    <n v="0"/>
    <n v="0"/>
    <n v="0"/>
    <n v="46872"/>
    <n v="0"/>
    <n v="0"/>
    <n v="621"/>
    <n v="0"/>
    <n v="0"/>
    <n v="0"/>
    <n v="621"/>
    <n v="0"/>
    <n v="0"/>
    <n v="0"/>
    <n v="576"/>
    <n v="0"/>
    <n v="0"/>
    <n v="576"/>
    <n v="0"/>
    <n v="0"/>
    <n v="0"/>
    <n v="0"/>
    <n v="0"/>
    <n v="0"/>
    <n v="0"/>
    <n v="0"/>
    <x v="2"/>
  </r>
  <r>
    <s v="销售一部江西省"/>
    <x v="1"/>
    <s v="华中大区"/>
    <x v="8"/>
    <n v="0"/>
    <n v="0"/>
    <n v="14"/>
    <n v="3760"/>
    <n v="0"/>
    <n v="360"/>
    <n v="0"/>
    <n v="4926"/>
    <n v="0"/>
    <n v="24936.5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2"/>
  </r>
  <r>
    <s v="销售一部江苏省"/>
    <x v="1"/>
    <s v="华中大区"/>
    <x v="0"/>
    <n v="0"/>
    <n v="0"/>
    <n v="172"/>
    <n v="34550"/>
    <n v="0"/>
    <n v="0"/>
    <n v="0"/>
    <n v="5293"/>
    <n v="0"/>
    <n v="71845.75"/>
    <n v="0"/>
    <n v="0"/>
    <n v="0"/>
    <n v="0"/>
    <n v="0"/>
    <n v="0"/>
    <n v="0"/>
    <n v="0"/>
    <n v="0"/>
    <n v="0"/>
    <n v="280"/>
    <n v="0"/>
    <n v="0"/>
    <n v="280"/>
    <n v="0"/>
    <n v="0"/>
    <n v="0"/>
    <n v="0"/>
    <n v="0"/>
    <n v="0"/>
    <n v="0"/>
    <n v="0"/>
    <x v="2"/>
  </r>
  <r>
    <s v="销售一部四川省"/>
    <x v="1"/>
    <s v="西南大区"/>
    <x v="18"/>
    <n v="0"/>
    <n v="0"/>
    <n v="6870"/>
    <n v="2760"/>
    <n v="0"/>
    <n v="0"/>
    <n v="0"/>
    <n v="0"/>
    <n v="0"/>
    <n v="11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销售一部云南省"/>
    <x v="1"/>
    <s v="西南大区"/>
    <x v="17"/>
    <n v="0"/>
    <n v="0"/>
    <n v="22"/>
    <n v="8284"/>
    <n v="0"/>
    <n v="0"/>
    <n v="0"/>
    <n v="5732"/>
    <n v="0"/>
    <n v="33943"/>
    <n v="0"/>
    <n v="0"/>
    <n v="0"/>
    <n v="0"/>
    <n v="0"/>
    <n v="0"/>
    <n v="0"/>
    <n v="0"/>
    <n v="280"/>
    <n v="280"/>
    <n v="920"/>
    <n v="0"/>
    <n v="0"/>
    <n v="920"/>
    <n v="0"/>
    <n v="0"/>
    <n v="0"/>
    <n v="0"/>
    <n v="0"/>
    <n v="0"/>
    <n v="0"/>
    <n v="0"/>
    <x v="2"/>
  </r>
  <r>
    <s v="销售一部重庆市"/>
    <x v="1"/>
    <s v="西南大区"/>
    <x v="19"/>
    <n v="0"/>
    <n v="0"/>
    <n v="95"/>
    <n v="6295"/>
    <n v="0"/>
    <n v="8820"/>
    <n v="0"/>
    <n v="1008"/>
    <n v="0"/>
    <n v="33162.5"/>
    <n v="0"/>
    <n v="0"/>
    <n v="0"/>
    <n v="0"/>
    <n v="0"/>
    <n v="0"/>
    <n v="0"/>
    <n v="0"/>
    <n v="0"/>
    <n v="0"/>
    <n v="216"/>
    <n v="0"/>
    <n v="0"/>
    <n v="216"/>
    <n v="0"/>
    <n v="0"/>
    <n v="0"/>
    <n v="0"/>
    <n v="0"/>
    <n v="0"/>
    <n v="0"/>
    <n v="0"/>
    <x v="2"/>
  </r>
  <r>
    <s v="销售二部北京市"/>
    <x v="2"/>
    <s v="销售二部"/>
    <x v="23"/>
    <n v="0"/>
    <n v="0"/>
    <n v="12"/>
    <n v="25240"/>
    <n v="0"/>
    <n v="0"/>
    <n v="0"/>
    <n v="121"/>
    <n v="49449"/>
    <n v="409193.25"/>
    <n v="0"/>
    <n v="0"/>
    <n v="0"/>
    <n v="2604"/>
    <n v="0"/>
    <n v="8942"/>
    <n v="25610"/>
    <n v="0"/>
    <n v="41683"/>
    <n v="41683"/>
    <n v="680"/>
    <n v="0"/>
    <n v="0"/>
    <n v="680"/>
    <n v="0"/>
    <n v="717"/>
    <n v="0"/>
    <n v="0"/>
    <n v="717"/>
    <n v="0"/>
    <n v="0"/>
    <n v="0"/>
    <x v="2"/>
  </r>
  <r>
    <s v="销售三部福建省"/>
    <x v="3"/>
    <s v="销售三部"/>
    <x v="24"/>
    <n v="0"/>
    <n v="50"/>
    <n v="0"/>
    <n v="43279"/>
    <n v="0"/>
    <n v="0"/>
    <n v="0"/>
    <n v="0"/>
    <n v="0"/>
    <n v="64956"/>
    <n v="0"/>
    <n v="0"/>
    <n v="0"/>
    <n v="0"/>
    <n v="0"/>
    <n v="0"/>
    <n v="0"/>
    <n v="0"/>
    <n v="0"/>
    <n v="0"/>
    <n v="330"/>
    <n v="0"/>
    <n v="0"/>
    <n v="330"/>
    <n v="0"/>
    <n v="0"/>
    <n v="0"/>
    <n v="0"/>
    <n v="0"/>
    <n v="0"/>
    <n v="0"/>
    <n v="0"/>
    <x v="2"/>
  </r>
  <r>
    <s v="销售三部浙江省"/>
    <x v="3"/>
    <s v="销售三部"/>
    <x v="25"/>
    <n v="50"/>
    <n v="510"/>
    <n v="402336"/>
    <n v="5182"/>
    <n v="0"/>
    <n v="0"/>
    <n v="0"/>
    <n v="0"/>
    <n v="0"/>
    <n v="410516.5"/>
    <n v="0"/>
    <n v="0"/>
    <n v="166"/>
    <n v="0"/>
    <n v="127101"/>
    <n v="0"/>
    <n v="190817.5"/>
    <n v="0"/>
    <n v="28388"/>
    <n v="28388"/>
    <n v="34683"/>
    <n v="0"/>
    <n v="0"/>
    <n v="34683"/>
    <n v="0"/>
    <n v="340"/>
    <n v="0"/>
    <n v="0"/>
    <n v="340"/>
    <n v="0"/>
    <n v="0"/>
    <n v="0"/>
    <x v="2"/>
  </r>
  <r>
    <s v="销售四部广东省"/>
    <x v="4"/>
    <s v="销售四部"/>
    <x v="26"/>
    <n v="0"/>
    <n v="0"/>
    <n v="2953"/>
    <n v="292008"/>
    <n v="0"/>
    <n v="0"/>
    <n v="0"/>
    <n v="0"/>
    <n v="0"/>
    <n v="440965"/>
    <n v="0"/>
    <n v="0"/>
    <n v="2426"/>
    <n v="0"/>
    <n v="50870"/>
    <n v="3520"/>
    <n v="87531"/>
    <n v="0"/>
    <n v="52140"/>
    <n v="52140"/>
    <n v="3148"/>
    <n v="0"/>
    <n v="50"/>
    <n v="3248"/>
    <n v="0"/>
    <n v="490"/>
    <n v="0"/>
    <n v="0"/>
    <n v="490"/>
    <n v="0"/>
    <n v="0"/>
    <n v="0"/>
    <x v="2"/>
  </r>
  <r>
    <s v="销售四部海南省"/>
    <x v="4"/>
    <s v="销售四部"/>
    <x v="27"/>
    <n v="0"/>
    <n v="0"/>
    <n v="5"/>
    <n v="15477"/>
    <n v="0"/>
    <n v="0"/>
    <n v="0"/>
    <n v="0"/>
    <n v="0"/>
    <n v="23220.5"/>
    <n v="0"/>
    <n v="0"/>
    <n v="8602"/>
    <n v="0"/>
    <n v="0"/>
    <n v="0"/>
    <n v="8602"/>
    <n v="0"/>
    <n v="3150"/>
    <n v="3150"/>
    <n v="20"/>
    <n v="0"/>
    <n v="0"/>
    <n v="20"/>
    <n v="0"/>
    <n v="0"/>
    <n v="0"/>
    <n v="0"/>
    <n v="0"/>
    <n v="0"/>
    <n v="0"/>
    <n v="0"/>
    <x v="2"/>
  </r>
  <r>
    <s v="销售五部甘肃省"/>
    <x v="5"/>
    <s v="销售五部"/>
    <x v="28"/>
    <n v="0"/>
    <n v="0"/>
    <n v="14099"/>
    <n v="34052"/>
    <n v="0"/>
    <n v="0"/>
    <n v="0"/>
    <n v="0"/>
    <n v="0"/>
    <n v="65177"/>
    <n v="0"/>
    <n v="0"/>
    <n v="50"/>
    <n v="0"/>
    <n v="0"/>
    <n v="0"/>
    <n v="50"/>
    <n v="0"/>
    <n v="2160"/>
    <n v="2160"/>
    <n v="470"/>
    <n v="0"/>
    <n v="0"/>
    <n v="470"/>
    <n v="0"/>
    <n v="180"/>
    <n v="0"/>
    <n v="0"/>
    <n v="180"/>
    <n v="0"/>
    <n v="0"/>
    <n v="0"/>
    <x v="2"/>
  </r>
  <r>
    <s v="销售五部河南省"/>
    <x v="5"/>
    <s v="销售五部"/>
    <x v="29"/>
    <n v="0"/>
    <n v="0"/>
    <n v="8312"/>
    <n v="242520"/>
    <n v="0"/>
    <n v="0"/>
    <n v="0"/>
    <n v="0"/>
    <n v="0"/>
    <n v="372092"/>
    <n v="0"/>
    <n v="0"/>
    <n v="2669"/>
    <n v="0"/>
    <n v="0"/>
    <n v="0"/>
    <n v="2669"/>
    <n v="4447"/>
    <n v="22735"/>
    <n v="24958.5"/>
    <n v="2705"/>
    <n v="0"/>
    <n v="0"/>
    <n v="2705"/>
    <n v="0"/>
    <n v="780"/>
    <n v="0"/>
    <n v="0"/>
    <n v="780"/>
    <n v="0"/>
    <n v="0"/>
    <n v="0"/>
    <x v="2"/>
  </r>
  <r>
    <s v="销售五部陕西省"/>
    <x v="5"/>
    <s v="销售五部"/>
    <x v="2"/>
    <n v="0"/>
    <n v="0"/>
    <n v="438"/>
    <n v="43050"/>
    <n v="0"/>
    <n v="10800"/>
    <n v="0"/>
    <n v="144"/>
    <n v="0"/>
    <n v="89853"/>
    <n v="0"/>
    <n v="0"/>
    <n v="170"/>
    <n v="0"/>
    <n v="0"/>
    <n v="0"/>
    <n v="170"/>
    <n v="0"/>
    <n v="260"/>
    <n v="260"/>
    <n v="185"/>
    <n v="0"/>
    <n v="0"/>
    <n v="185"/>
    <n v="0"/>
    <n v="0"/>
    <n v="0"/>
    <n v="0"/>
    <n v="0"/>
    <n v="0"/>
    <n v="0"/>
    <n v="0"/>
    <x v="2"/>
  </r>
  <r>
    <s v="OTC浙江省"/>
    <x v="6"/>
    <m/>
    <x v="25"/>
    <n v="0"/>
    <n v="103345"/>
    <n v="0"/>
    <n v="0"/>
    <n v="0"/>
    <n v="0"/>
    <n v="0"/>
    <n v="0"/>
    <n v="0"/>
    <n v="77508.75"/>
    <n v="0"/>
    <n v="40"/>
    <n v="1618"/>
    <n v="0"/>
    <n v="13625"/>
    <n v="0"/>
    <n v="22085.5"/>
    <n v="0"/>
    <n v="0"/>
    <n v="0"/>
    <n v="0"/>
    <n v="0"/>
    <n v="0"/>
    <n v="0"/>
    <n v="0"/>
    <n v="990"/>
    <n v="0"/>
    <n v="0"/>
    <n v="990"/>
    <n v="0"/>
    <n v="0"/>
    <n v="0"/>
    <x v="2"/>
  </r>
  <r>
    <s v="OTC安徽省"/>
    <x v="6"/>
    <m/>
    <x v="7"/>
    <n v="0"/>
    <n v="2206"/>
    <n v="0"/>
    <n v="0"/>
    <n v="0"/>
    <n v="0"/>
    <n v="0"/>
    <n v="0"/>
    <n v="0"/>
    <n v="165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江西省"/>
    <x v="6"/>
    <m/>
    <x v="8"/>
    <n v="0"/>
    <n v="15245"/>
    <n v="0"/>
    <n v="0"/>
    <n v="0"/>
    <n v="0"/>
    <n v="0"/>
    <n v="0"/>
    <n v="0"/>
    <n v="11433.75"/>
    <n v="0"/>
    <n v="7724"/>
    <n v="0"/>
    <n v="0"/>
    <n v="0"/>
    <n v="0"/>
    <n v="5793"/>
    <n v="0"/>
    <n v="0"/>
    <n v="0"/>
    <n v="0"/>
    <n v="0"/>
    <n v="0"/>
    <n v="0"/>
    <n v="0"/>
    <n v="0"/>
    <n v="200"/>
    <n v="0"/>
    <n v="234"/>
    <n v="0"/>
    <n v="0"/>
    <n v="0"/>
    <x v="2"/>
  </r>
  <r>
    <s v="OTC江苏省"/>
    <x v="6"/>
    <m/>
    <x v="0"/>
    <n v="0"/>
    <n v="9912"/>
    <n v="0"/>
    <n v="0"/>
    <n v="0"/>
    <n v="0"/>
    <n v="0"/>
    <n v="0"/>
    <n v="0"/>
    <n v="74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山东省"/>
    <x v="6"/>
    <m/>
    <x v="1"/>
    <n v="0"/>
    <n v="19541"/>
    <n v="315"/>
    <n v="0"/>
    <n v="0"/>
    <n v="0"/>
    <n v="0"/>
    <n v="0"/>
    <n v="0"/>
    <n v="14970.75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70.199999999999989"/>
    <n v="0"/>
    <n v="0"/>
    <n v="0"/>
    <x v="2"/>
  </r>
  <r>
    <s v="OTC福建省"/>
    <x v="6"/>
    <m/>
    <x v="24"/>
    <n v="0"/>
    <n v="6618"/>
    <n v="0"/>
    <n v="0"/>
    <n v="0"/>
    <n v="0"/>
    <n v="3024"/>
    <n v="0"/>
    <n v="0"/>
    <n v="140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广东省"/>
    <x v="6"/>
    <m/>
    <x v="26"/>
    <n v="0"/>
    <n v="46079"/>
    <n v="0"/>
    <n v="0"/>
    <n v="0"/>
    <n v="0"/>
    <n v="0"/>
    <n v="0"/>
    <n v="0"/>
    <n v="34559.25"/>
    <n v="0"/>
    <n v="396"/>
    <n v="0"/>
    <n v="0"/>
    <n v="0"/>
    <n v="0"/>
    <n v="297"/>
    <n v="0"/>
    <n v="0"/>
    <n v="0"/>
    <n v="0"/>
    <n v="0"/>
    <n v="0"/>
    <n v="0"/>
    <n v="0"/>
    <n v="0"/>
    <n v="10"/>
    <n v="0"/>
    <n v="11.7"/>
    <n v="0"/>
    <n v="0"/>
    <n v="0"/>
    <x v="2"/>
  </r>
  <r>
    <s v="OTC海南省"/>
    <x v="6"/>
    <m/>
    <x v="27"/>
    <n v="0"/>
    <n v="1020"/>
    <n v="0"/>
    <n v="0"/>
    <n v="0"/>
    <n v="0"/>
    <n v="0"/>
    <n v="0"/>
    <n v="0"/>
    <n v="7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湖南省"/>
    <x v="6"/>
    <m/>
    <x v="22"/>
    <n v="0"/>
    <n v="4592"/>
    <n v="0"/>
    <n v="0"/>
    <n v="0"/>
    <n v="0"/>
    <n v="19776"/>
    <n v="0"/>
    <n v="0"/>
    <n v="62772"/>
    <n v="0"/>
    <n v="11127"/>
    <n v="0"/>
    <n v="0"/>
    <n v="0"/>
    <n v="0"/>
    <n v="8345.25"/>
    <n v="0"/>
    <n v="0"/>
    <n v="0"/>
    <n v="0"/>
    <n v="0"/>
    <n v="0"/>
    <n v="0"/>
    <n v="0"/>
    <n v="0"/>
    <n v="0"/>
    <n v="0"/>
    <n v="0"/>
    <n v="0"/>
    <n v="0"/>
    <n v="0"/>
    <x v="2"/>
  </r>
  <r>
    <s v="OTC湖北省"/>
    <x v="6"/>
    <m/>
    <x v="16"/>
    <n v="0"/>
    <n v="9030"/>
    <n v="0"/>
    <n v="0"/>
    <n v="0"/>
    <n v="0"/>
    <n v="0"/>
    <n v="0"/>
    <n v="0"/>
    <n v="6772.5"/>
    <n v="0"/>
    <n v="281"/>
    <n v="0"/>
    <n v="0"/>
    <n v="0"/>
    <n v="0"/>
    <n v="210.75"/>
    <n v="0"/>
    <n v="0"/>
    <n v="0"/>
    <n v="0"/>
    <n v="0"/>
    <n v="0"/>
    <n v="0"/>
    <n v="0"/>
    <n v="0"/>
    <n v="0"/>
    <n v="0"/>
    <n v="0"/>
    <n v="0"/>
    <n v="0"/>
    <n v="0"/>
    <x v="2"/>
  </r>
  <r>
    <s v="OTC广西壮族自治区"/>
    <x v="6"/>
    <m/>
    <x v="21"/>
    <n v="0"/>
    <n v="4495"/>
    <n v="0"/>
    <n v="0"/>
    <n v="0"/>
    <n v="0"/>
    <n v="0"/>
    <n v="0"/>
    <n v="0"/>
    <n v="337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贵州省"/>
    <x v="6"/>
    <m/>
    <x v="20"/>
    <n v="0"/>
    <n v="1262"/>
    <n v="0"/>
    <n v="0"/>
    <n v="0"/>
    <n v="0"/>
    <n v="0"/>
    <n v="0"/>
    <n v="0"/>
    <n v="94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云南省"/>
    <x v="6"/>
    <m/>
    <x v="17"/>
    <n v="0"/>
    <n v="9158"/>
    <n v="0"/>
    <n v="3756"/>
    <n v="0"/>
    <n v="0"/>
    <n v="0"/>
    <n v="479"/>
    <n v="0"/>
    <n v="1429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陕西省"/>
    <x v="6"/>
    <m/>
    <x v="2"/>
    <n v="0"/>
    <n v="27072"/>
    <n v="0"/>
    <n v="0"/>
    <n v="0"/>
    <n v="0"/>
    <n v="6715"/>
    <n v="0"/>
    <n v="0"/>
    <n v="40449"/>
    <n v="0"/>
    <n v="448"/>
    <n v="0"/>
    <n v="0"/>
    <n v="0"/>
    <n v="0"/>
    <n v="336"/>
    <n v="0"/>
    <n v="0"/>
    <n v="0"/>
    <n v="0"/>
    <n v="0"/>
    <n v="0"/>
    <n v="0"/>
    <n v="0"/>
    <n v="0"/>
    <n v="2400"/>
    <n v="0"/>
    <n v="2808"/>
    <n v="0"/>
    <n v="0"/>
    <n v="0"/>
    <x v="2"/>
  </r>
  <r>
    <s v="OTC四川省"/>
    <x v="6"/>
    <m/>
    <x v="18"/>
    <n v="0"/>
    <n v="4610"/>
    <n v="0"/>
    <n v="0"/>
    <n v="0"/>
    <n v="0"/>
    <n v="0"/>
    <n v="0"/>
    <n v="0"/>
    <n v="34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重庆市"/>
    <x v="6"/>
    <m/>
    <x v="19"/>
    <n v="0"/>
    <n v="1430"/>
    <n v="0"/>
    <n v="0"/>
    <n v="0"/>
    <n v="0"/>
    <n v="0"/>
    <n v="0"/>
    <n v="0"/>
    <n v="107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甘肃省"/>
    <x v="6"/>
    <m/>
    <x v="28"/>
    <n v="0"/>
    <n v="4510"/>
    <n v="0"/>
    <n v="0"/>
    <n v="0"/>
    <n v="0"/>
    <n v="0"/>
    <n v="0"/>
    <n v="0"/>
    <n v="3382.5"/>
    <n v="0"/>
    <n v="264"/>
    <n v="0"/>
    <n v="0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x v="2"/>
  </r>
  <r>
    <s v="OTC北京市"/>
    <x v="6"/>
    <m/>
    <x v="23"/>
    <n v="0"/>
    <n v="7248"/>
    <n v="0"/>
    <n v="0"/>
    <n v="0"/>
    <n v="0"/>
    <n v="0"/>
    <n v="0"/>
    <n v="0"/>
    <n v="5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河北省"/>
    <x v="6"/>
    <m/>
    <x v="9"/>
    <n v="0"/>
    <n v="28014"/>
    <n v="0"/>
    <n v="0"/>
    <n v="0"/>
    <n v="0"/>
    <n v="2500"/>
    <n v="0"/>
    <n v="0"/>
    <n v="28510.5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x v="2"/>
  </r>
  <r>
    <s v="OTC天津市"/>
    <x v="6"/>
    <m/>
    <x v="11"/>
    <n v="0"/>
    <n v="1905"/>
    <n v="201"/>
    <n v="0"/>
    <n v="0"/>
    <n v="0"/>
    <n v="0"/>
    <n v="0"/>
    <n v="0"/>
    <n v="162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河南省"/>
    <x v="6"/>
    <m/>
    <x v="29"/>
    <n v="0"/>
    <n v="49299"/>
    <n v="0"/>
    <n v="0"/>
    <n v="0"/>
    <n v="0"/>
    <n v="1200"/>
    <n v="0"/>
    <n v="0"/>
    <n v="40574.25"/>
    <n v="0"/>
    <n v="30"/>
    <n v="0"/>
    <n v="0"/>
    <n v="0"/>
    <n v="0"/>
    <n v="22.5"/>
    <n v="0"/>
    <n v="0"/>
    <n v="0"/>
    <n v="0"/>
    <n v="0"/>
    <n v="0"/>
    <n v="0"/>
    <n v="0"/>
    <n v="0"/>
    <n v="430"/>
    <n v="0"/>
    <n v="503.09999999999997"/>
    <n v="0"/>
    <n v="0"/>
    <n v="0"/>
    <x v="2"/>
  </r>
  <r>
    <s v="OTC山西省"/>
    <x v="6"/>
    <m/>
    <x v="10"/>
    <n v="0"/>
    <n v="14317"/>
    <n v="0"/>
    <n v="0"/>
    <n v="0"/>
    <n v="0"/>
    <n v="0"/>
    <n v="0"/>
    <n v="0"/>
    <n v="10737.75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17"/>
    <n v="0"/>
    <n v="0"/>
    <n v="0"/>
    <x v="2"/>
  </r>
  <r>
    <s v="OTC黑龙江省"/>
    <x v="6"/>
    <m/>
    <x v="12"/>
    <n v="0"/>
    <n v="6026"/>
    <n v="0"/>
    <n v="0"/>
    <n v="0"/>
    <n v="0"/>
    <n v="1200"/>
    <n v="0"/>
    <n v="0"/>
    <n v="811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吉林省"/>
    <x v="6"/>
    <m/>
    <x v="14"/>
    <n v="0"/>
    <n v="9082"/>
    <n v="0"/>
    <n v="0"/>
    <n v="0"/>
    <n v="0"/>
    <n v="0"/>
    <n v="0"/>
    <n v="0"/>
    <n v="6811.5"/>
    <n v="0"/>
    <n v="0"/>
    <n v="0"/>
    <n v="0"/>
    <n v="0"/>
    <n v="0"/>
    <n v="0"/>
    <n v="0"/>
    <n v="0"/>
    <n v="0"/>
    <n v="0"/>
    <n v="0"/>
    <n v="0"/>
    <n v="0"/>
    <n v="0"/>
    <n v="0"/>
    <n v="158"/>
    <n v="0"/>
    <n v="184.85999999999999"/>
    <n v="0"/>
    <n v="0"/>
    <n v="0"/>
    <x v="2"/>
  </r>
  <r>
    <s v="OTC辽宁省"/>
    <x v="6"/>
    <m/>
    <x v="13"/>
    <n v="0"/>
    <n v="8486"/>
    <n v="0"/>
    <n v="0"/>
    <n v="0"/>
    <n v="0"/>
    <n v="0"/>
    <n v="0"/>
    <n v="0"/>
    <n v="6364.5"/>
    <n v="0"/>
    <n v="3358"/>
    <n v="0"/>
    <n v="0"/>
    <n v="0"/>
    <n v="0"/>
    <n v="2518.5"/>
    <n v="0"/>
    <n v="0"/>
    <n v="0"/>
    <n v="0"/>
    <n v="0"/>
    <n v="0"/>
    <n v="0"/>
    <n v="0"/>
    <n v="0"/>
    <n v="36"/>
    <n v="0"/>
    <n v="42.12"/>
    <n v="0"/>
    <n v="0"/>
    <n v="0"/>
    <x v="2"/>
  </r>
  <r>
    <s v="电商部电商"/>
    <x v="7"/>
    <s v="电商部"/>
    <x v="30"/>
    <n v="3643"/>
    <n v="12441"/>
    <n v="30009"/>
    <n v="5298"/>
    <n v="1021"/>
    <n v="26283"/>
    <n v="0"/>
    <n v="0"/>
    <n v="571"/>
    <n v="114569.5"/>
    <n v="0"/>
    <n v="123"/>
    <n v="1414"/>
    <n v="0"/>
    <n v="11419"/>
    <n v="0"/>
    <n v="18634.75"/>
    <n v="0"/>
    <n v="10859"/>
    <n v="10859"/>
    <n v="363"/>
    <n v="0"/>
    <n v="0"/>
    <n v="363"/>
    <n v="0"/>
    <n v="0"/>
    <n v="0"/>
    <n v="405"/>
    <n v="538.65"/>
    <n v="0"/>
    <n v="2877"/>
    <n v="5034.75"/>
    <x v="2"/>
  </r>
  <r>
    <s v="上海事业部上海市"/>
    <x v="8"/>
    <s v="上海大包"/>
    <x v="31"/>
    <n v="0"/>
    <n v="0"/>
    <n v="82137.5"/>
    <n v="78444.88"/>
    <n v="0"/>
    <n v="0"/>
    <n v="0"/>
    <n v="0"/>
    <n v="0"/>
    <n v="199804.82"/>
    <n v="3520"/>
    <n v="0"/>
    <n v="56009"/>
    <n v="0"/>
    <n v="1210"/>
    <n v="170"/>
    <n v="60009"/>
    <n v="0"/>
    <n v="46836"/>
    <n v="46836"/>
    <n v="0"/>
    <n v="0"/>
    <n v="0"/>
    <n v="0"/>
    <n v="0"/>
    <n v="1050"/>
    <n v="0"/>
    <n v="0"/>
    <n v="1050"/>
    <n v="0"/>
    <n v="0"/>
    <n v="0"/>
    <x v="2"/>
  </r>
  <r>
    <s v="商务部河南省"/>
    <x v="9"/>
    <s v="商务部"/>
    <x v="29"/>
    <n v="0"/>
    <n v="222"/>
    <n v="0"/>
    <n v="0"/>
    <n v="0"/>
    <n v="0"/>
    <n v="0"/>
    <n v="0"/>
    <n v="0"/>
    <n v="16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陕西省"/>
    <x v="9"/>
    <s v="商务部"/>
    <x v="2"/>
    <n v="0"/>
    <n v="29340"/>
    <n v="716"/>
    <n v="0"/>
    <n v="0"/>
    <n v="0"/>
    <n v="0"/>
    <n v="0"/>
    <n v="0"/>
    <n v="22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湖北省"/>
    <x v="9"/>
    <s v="商务部"/>
    <x v="16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安徽省"/>
    <x v="9"/>
    <s v="商务部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山东省"/>
    <x v="9"/>
    <s v="商务部"/>
    <x v="1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广东省"/>
    <x v="9"/>
    <s v="商务部"/>
    <x v="26"/>
    <n v="0"/>
    <n v="7189"/>
    <n v="0"/>
    <n v="0"/>
    <n v="0"/>
    <n v="0"/>
    <n v="0"/>
    <n v="0"/>
    <n v="0"/>
    <n v="539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江苏省"/>
    <x v="9"/>
    <s v="商务部"/>
    <x v="0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重庆市"/>
    <x v="9"/>
    <s v="商务部"/>
    <x v="19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四川省"/>
    <x v="9"/>
    <s v="商务部"/>
    <x v="18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湖南省"/>
    <x v="9"/>
    <s v="商务部"/>
    <x v="22"/>
    <n v="0"/>
    <n v="4140"/>
    <n v="0"/>
    <n v="0"/>
    <n v="0"/>
    <n v="0"/>
    <n v="0"/>
    <n v="0"/>
    <n v="0"/>
    <n v="3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浙江省"/>
    <x v="9"/>
    <s v="商务部"/>
    <x v="25"/>
    <n v="0"/>
    <n v="4860"/>
    <n v="0"/>
    <n v="0"/>
    <n v="0"/>
    <n v="0"/>
    <n v="0"/>
    <n v="0"/>
    <n v="0"/>
    <n v="3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北京市"/>
    <x v="9"/>
    <s v="商务部"/>
    <x v="23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河北省"/>
    <x v="9"/>
    <s v="商务部"/>
    <x v="9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黑龙江省"/>
    <x v="9"/>
    <s v="商务部"/>
    <x v="12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吉林省"/>
    <x v="9"/>
    <s v="商务部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江西省"/>
    <x v="9"/>
    <s v="商务部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辽宁省"/>
    <x v="9"/>
    <s v="商务部"/>
    <x v="13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山西省"/>
    <x v="9"/>
    <s v="商务部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云南省"/>
    <x v="9"/>
    <s v="商务部"/>
    <x v="17"/>
    <n v="0"/>
    <n v="72178"/>
    <n v="0"/>
    <n v="0"/>
    <n v="0"/>
    <n v="0"/>
    <n v="0"/>
    <n v="0"/>
    <n v="0"/>
    <n v="5413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福建省"/>
    <x v="9"/>
    <s v="商务部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营销总部浙江省"/>
    <x v="10"/>
    <s v="营销总部"/>
    <x v="25"/>
    <n v="3"/>
    <n v="4586"/>
    <n v="94316"/>
    <n v="-6"/>
    <n v="0"/>
    <n v="-2"/>
    <n v="0"/>
    <n v="0"/>
    <n v="36"/>
    <n v="98013.5"/>
    <n v="-11"/>
    <n v="8"/>
    <n v="19392"/>
    <n v="160"/>
    <n v="1200"/>
    <n v="-3"/>
    <n v="21385"/>
    <n v="80"/>
    <n v="1437"/>
    <n v="1477"/>
    <n v="-42"/>
    <n v="2320"/>
    <n v="1040"/>
    <n v="5518"/>
    <n v="0"/>
    <n v="71"/>
    <n v="10"/>
    <n v="0"/>
    <n v="82.7"/>
    <n v="0"/>
    <n v="0"/>
    <n v="0"/>
    <x v="2"/>
  </r>
  <r>
    <s v="代理事业部江苏省"/>
    <x v="0"/>
    <s v="招商1区"/>
    <x v="0"/>
    <n v="0"/>
    <n v="0"/>
    <n v="4299"/>
    <n v="91144"/>
    <n v="0"/>
    <n v="0"/>
    <n v="0"/>
    <n v="6176"/>
    <n v="0"/>
    <n v="164175"/>
    <n v="0"/>
    <n v="0"/>
    <n v="0"/>
    <n v="1190"/>
    <n v="11675"/>
    <n v="29152"/>
    <n v="91880"/>
    <n v="0"/>
    <n v="23189"/>
    <n v="23189"/>
    <n v="-30"/>
    <n v="0"/>
    <n v="0"/>
    <n v="-30"/>
    <n v="0"/>
    <n v="1016"/>
    <n v="0"/>
    <n v="0"/>
    <n v="1016"/>
    <n v="0"/>
    <n v="0"/>
    <n v="0"/>
    <x v="3"/>
  </r>
  <r>
    <s v="代理事业部山东省"/>
    <x v="0"/>
    <s v="招商2区"/>
    <x v="1"/>
    <n v="0"/>
    <n v="0"/>
    <n v="74425"/>
    <n v="4698"/>
    <n v="0"/>
    <n v="0"/>
    <n v="0"/>
    <n v="0"/>
    <n v="0"/>
    <n v="81472"/>
    <n v="0"/>
    <n v="0"/>
    <n v="1050"/>
    <n v="0"/>
    <n v="24690"/>
    <n v="2542"/>
    <n v="44440"/>
    <n v="-208"/>
    <n v="4163"/>
    <n v="4059"/>
    <n v="0"/>
    <n v="0"/>
    <n v="0"/>
    <n v="0"/>
    <n v="0"/>
    <n v="1130"/>
    <n v="0"/>
    <n v="0"/>
    <n v="1130"/>
    <n v="0"/>
    <n v="0"/>
    <n v="0"/>
    <x v="3"/>
  </r>
  <r>
    <s v="代理事业部陕西省"/>
    <x v="0"/>
    <s v="招商2区"/>
    <x v="2"/>
    <n v="0"/>
    <n v="0"/>
    <n v="2275"/>
    <n v="12595"/>
    <n v="0"/>
    <n v="4305"/>
    <n v="0"/>
    <n v="10"/>
    <n v="0"/>
    <n v="30891.25"/>
    <n v="0"/>
    <n v="0"/>
    <n v="40"/>
    <n v="0"/>
    <n v="0"/>
    <n v="0"/>
    <n v="40"/>
    <n v="0"/>
    <n v="5005"/>
    <n v="5005"/>
    <n v="13"/>
    <n v="0"/>
    <n v="0"/>
    <n v="13"/>
    <n v="0"/>
    <n v="200"/>
    <n v="0"/>
    <n v="0"/>
    <n v="200"/>
    <n v="0"/>
    <n v="0"/>
    <n v="0"/>
    <x v="3"/>
  </r>
  <r>
    <s v="代理事业部宁夏回族自治区"/>
    <x v="0"/>
    <s v="招商2区"/>
    <x v="3"/>
    <n v="0"/>
    <n v="0"/>
    <n v="971"/>
    <n v="8531"/>
    <n v="0"/>
    <n v="0"/>
    <n v="0"/>
    <n v="0"/>
    <n v="0"/>
    <n v="13767.5"/>
    <n v="0"/>
    <n v="0"/>
    <n v="0"/>
    <n v="0"/>
    <n v="0"/>
    <n v="0"/>
    <n v="0"/>
    <n v="0"/>
    <n v="474"/>
    <n v="474"/>
    <n v="0"/>
    <n v="0"/>
    <n v="0"/>
    <n v="0"/>
    <n v="0"/>
    <n v="0"/>
    <n v="0"/>
    <n v="0"/>
    <n v="0"/>
    <n v="0"/>
    <n v="0"/>
    <n v="0"/>
    <x v="3"/>
  </r>
  <r>
    <s v="代理事业部青海省"/>
    <x v="0"/>
    <s v="招商2区"/>
    <x v="4"/>
    <n v="0"/>
    <n v="0"/>
    <n v="950"/>
    <n v="3340"/>
    <n v="0"/>
    <n v="0"/>
    <n v="0"/>
    <n v="0"/>
    <n v="0"/>
    <n v="5960"/>
    <n v="0"/>
    <n v="0"/>
    <n v="240"/>
    <n v="0"/>
    <n v="80"/>
    <n v="370"/>
    <n v="1285"/>
    <n v="0"/>
    <n v="2530"/>
    <n v="2530"/>
    <n v="0"/>
    <n v="0"/>
    <n v="0"/>
    <n v="0"/>
    <n v="0"/>
    <n v="0"/>
    <n v="0"/>
    <n v="0"/>
    <n v="0"/>
    <n v="0"/>
    <n v="0"/>
    <n v="0"/>
    <x v="3"/>
  </r>
  <r>
    <s v="代理事业部西藏自治区"/>
    <x v="0"/>
    <s v="招商6区"/>
    <x v="5"/>
    <n v="0"/>
    <n v="0"/>
    <n v="1020"/>
    <n v="0"/>
    <n v="0"/>
    <n v="0"/>
    <n v="0"/>
    <n v="0"/>
    <n v="0"/>
    <n v="10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代理事业部新疆维吾尔自治区"/>
    <x v="0"/>
    <s v="招商2区"/>
    <x v="6"/>
    <n v="0"/>
    <n v="0"/>
    <n v="4888"/>
    <n v="8851"/>
    <n v="0"/>
    <n v="5974"/>
    <n v="0"/>
    <n v="0"/>
    <n v="0"/>
    <n v="31606"/>
    <n v="0"/>
    <n v="0"/>
    <n v="885"/>
    <n v="0"/>
    <n v="0"/>
    <n v="0"/>
    <n v="885"/>
    <n v="0"/>
    <n v="5493"/>
    <n v="5493"/>
    <n v="2"/>
    <n v="0"/>
    <n v="0"/>
    <n v="2"/>
    <n v="0"/>
    <n v="0"/>
    <n v="0"/>
    <n v="0"/>
    <n v="0"/>
    <n v="0"/>
    <n v="0"/>
    <n v="0"/>
    <x v="3"/>
  </r>
  <r>
    <s v="代理事业部安徽省"/>
    <x v="0"/>
    <s v="招商3区"/>
    <x v="7"/>
    <n v="0"/>
    <n v="0"/>
    <n v="8739"/>
    <n v="18122"/>
    <n v="0"/>
    <n v="0"/>
    <n v="0"/>
    <n v="0"/>
    <n v="0"/>
    <n v="35922"/>
    <n v="1350"/>
    <n v="0"/>
    <n v="8224"/>
    <n v="757"/>
    <n v="7025"/>
    <n v="0"/>
    <n v="20382.75"/>
    <n v="0"/>
    <n v="1895"/>
    <n v="1895"/>
    <n v="0"/>
    <n v="0"/>
    <n v="0"/>
    <n v="0"/>
    <n v="0"/>
    <n v="1420"/>
    <n v="0"/>
    <n v="0"/>
    <n v="1420"/>
    <n v="0"/>
    <n v="0"/>
    <n v="0"/>
    <x v="3"/>
  </r>
  <r>
    <s v="代理事业部江西省"/>
    <x v="0"/>
    <s v="招商3区"/>
    <x v="8"/>
    <n v="0"/>
    <n v="0"/>
    <n v="0"/>
    <n v="16888"/>
    <n v="0"/>
    <n v="1105"/>
    <n v="0"/>
    <n v="0"/>
    <n v="0"/>
    <n v="27818.25"/>
    <n v="0"/>
    <n v="0"/>
    <n v="290"/>
    <n v="690"/>
    <n v="0"/>
    <n v="0"/>
    <n v="1152.5"/>
    <n v="0"/>
    <n v="12414"/>
    <n v="12414"/>
    <n v="0"/>
    <n v="0"/>
    <n v="0"/>
    <n v="0"/>
    <n v="0"/>
    <n v="1080"/>
    <n v="0"/>
    <n v="0"/>
    <n v="1080"/>
    <n v="0"/>
    <n v="0"/>
    <n v="0"/>
    <x v="3"/>
  </r>
  <r>
    <s v="代理事业部河北省"/>
    <x v="0"/>
    <s v="招商3区"/>
    <x v="9"/>
    <n v="0"/>
    <n v="0"/>
    <n v="58"/>
    <n v="86784"/>
    <n v="0"/>
    <n v="0"/>
    <n v="0"/>
    <n v="0"/>
    <n v="0"/>
    <n v="130234"/>
    <n v="0"/>
    <n v="0"/>
    <n v="240"/>
    <n v="0"/>
    <n v="0"/>
    <n v="0"/>
    <n v="240"/>
    <n v="0"/>
    <n v="13650"/>
    <n v="13650"/>
    <n v="360"/>
    <n v="0"/>
    <n v="0"/>
    <n v="360"/>
    <n v="0"/>
    <n v="2"/>
    <n v="0"/>
    <n v="0"/>
    <n v="2"/>
    <n v="0"/>
    <n v="0"/>
    <n v="0"/>
    <x v="3"/>
  </r>
  <r>
    <s v="代理事业部山西省"/>
    <x v="0"/>
    <s v="招商3区"/>
    <x v="10"/>
    <n v="0"/>
    <n v="0"/>
    <n v="0"/>
    <n v="22989"/>
    <n v="0"/>
    <n v="0"/>
    <n v="0"/>
    <n v="0"/>
    <n v="0"/>
    <n v="34483.5"/>
    <n v="0"/>
    <n v="0"/>
    <n v="4579"/>
    <n v="0"/>
    <n v="3188"/>
    <n v="0"/>
    <n v="9361"/>
    <n v="0"/>
    <n v="1725"/>
    <n v="1725"/>
    <n v="490"/>
    <n v="0"/>
    <n v="0"/>
    <n v="490"/>
    <n v="0"/>
    <n v="805"/>
    <n v="0"/>
    <n v="0"/>
    <n v="805"/>
    <n v="0"/>
    <n v="0"/>
    <n v="0"/>
    <x v="3"/>
  </r>
  <r>
    <s v="代理事业部天津市"/>
    <x v="0"/>
    <s v="招商3区"/>
    <x v="11"/>
    <n v="0"/>
    <n v="0"/>
    <n v="75"/>
    <n v="14832"/>
    <n v="0"/>
    <n v="6205"/>
    <n v="0"/>
    <n v="20"/>
    <n v="0"/>
    <n v="36359.25"/>
    <n v="0"/>
    <n v="0"/>
    <n v="1570"/>
    <n v="0"/>
    <n v="1433"/>
    <n v="0"/>
    <n v="3719.5"/>
    <n v="0"/>
    <n v="3089"/>
    <n v="3089"/>
    <n v="50"/>
    <n v="0"/>
    <n v="0"/>
    <n v="50"/>
    <n v="0"/>
    <n v="40"/>
    <n v="0"/>
    <n v="0"/>
    <n v="40"/>
    <n v="0"/>
    <n v="0"/>
    <n v="0"/>
    <x v="3"/>
  </r>
  <r>
    <s v="代理事业部黑龙江省"/>
    <x v="0"/>
    <s v="招商4区"/>
    <x v="12"/>
    <n v="0"/>
    <n v="0"/>
    <n v="609"/>
    <n v="9596"/>
    <n v="0"/>
    <n v="2372"/>
    <n v="0"/>
    <n v="1200"/>
    <n v="0"/>
    <n v="24840"/>
    <n v="0"/>
    <n v="0"/>
    <n v="159"/>
    <n v="0"/>
    <n v="623"/>
    <n v="6811"/>
    <n v="18121"/>
    <n v="0"/>
    <n v="1140"/>
    <n v="1140"/>
    <n v="50"/>
    <n v="0"/>
    <n v="0"/>
    <n v="50"/>
    <n v="0"/>
    <n v="0"/>
    <n v="0"/>
    <n v="0"/>
    <n v="0"/>
    <n v="0"/>
    <n v="0"/>
    <n v="0"/>
    <x v="3"/>
  </r>
  <r>
    <s v="代理事业部辽宁省"/>
    <x v="0"/>
    <s v="招商4区"/>
    <x v="13"/>
    <n v="0"/>
    <n v="0"/>
    <n v="754"/>
    <n v="29033"/>
    <n v="0"/>
    <n v="2960"/>
    <n v="0"/>
    <n v="106"/>
    <n v="0"/>
    <n v="51361"/>
    <n v="0"/>
    <n v="0"/>
    <n v="258"/>
    <n v="20"/>
    <n v="0"/>
    <n v="0"/>
    <n v="283"/>
    <n v="0"/>
    <n v="1785"/>
    <n v="1785"/>
    <n v="0"/>
    <n v="0"/>
    <n v="0"/>
    <n v="0"/>
    <n v="0"/>
    <n v="0"/>
    <n v="0"/>
    <n v="0"/>
    <n v="0"/>
    <n v="0"/>
    <n v="0"/>
    <n v="0"/>
    <x v="3"/>
  </r>
  <r>
    <s v="代理事业部吉林省"/>
    <x v="0"/>
    <s v="招商4区"/>
    <x v="14"/>
    <n v="0"/>
    <n v="0"/>
    <n v="128"/>
    <n v="9248"/>
    <n v="0"/>
    <n v="2980"/>
    <n v="0"/>
    <n v="96"/>
    <n v="0"/>
    <n v="21065"/>
    <n v="0"/>
    <n v="0"/>
    <n v="0"/>
    <n v="0"/>
    <n v="412"/>
    <n v="40"/>
    <n v="718"/>
    <n v="0"/>
    <n v="740"/>
    <n v="740"/>
    <n v="0"/>
    <n v="0"/>
    <n v="0"/>
    <n v="0"/>
    <n v="0"/>
    <n v="0"/>
    <n v="0"/>
    <n v="0"/>
    <n v="0"/>
    <n v="0"/>
    <n v="0"/>
    <n v="0"/>
    <x v="3"/>
  </r>
  <r>
    <s v="代理事业部内蒙古自治区"/>
    <x v="0"/>
    <s v="招商4区"/>
    <x v="15"/>
    <n v="0"/>
    <n v="0"/>
    <n v="0"/>
    <n v="12794"/>
    <n v="0"/>
    <n v="0"/>
    <n v="0"/>
    <n v="0"/>
    <n v="0"/>
    <n v="19191"/>
    <n v="0"/>
    <n v="0"/>
    <n v="0"/>
    <n v="0"/>
    <n v="0"/>
    <n v="0"/>
    <n v="0"/>
    <n v="0"/>
    <n v="1703"/>
    <n v="1703"/>
    <n v="910"/>
    <n v="0"/>
    <n v="0"/>
    <n v="910"/>
    <n v="0"/>
    <n v="1"/>
    <n v="0"/>
    <n v="0"/>
    <n v="1"/>
    <n v="0"/>
    <n v="0"/>
    <n v="0"/>
    <x v="3"/>
  </r>
  <r>
    <s v="代理事业部湖北省"/>
    <x v="0"/>
    <s v="招商5区"/>
    <x v="16"/>
    <n v="0"/>
    <n v="0"/>
    <n v="39925"/>
    <n v="6275"/>
    <n v="0"/>
    <n v="0"/>
    <n v="0"/>
    <n v="0"/>
    <n v="0"/>
    <n v="49337.5"/>
    <n v="0"/>
    <n v="0"/>
    <n v="1962"/>
    <n v="0"/>
    <n v="0"/>
    <n v="0"/>
    <n v="1962"/>
    <n v="0"/>
    <n v="30674"/>
    <n v="30674"/>
    <n v="1350"/>
    <n v="0"/>
    <n v="0"/>
    <n v="1350"/>
    <n v="0"/>
    <n v="0"/>
    <n v="0"/>
    <n v="0"/>
    <n v="0"/>
    <n v="0"/>
    <n v="0"/>
    <n v="0"/>
    <x v="3"/>
  </r>
  <r>
    <s v="代理事业部云南省"/>
    <x v="0"/>
    <s v="招商5区"/>
    <x v="17"/>
    <n v="0"/>
    <n v="0"/>
    <n v="0"/>
    <n v="16796"/>
    <n v="0"/>
    <n v="0"/>
    <n v="0"/>
    <n v="578"/>
    <n v="0"/>
    <n v="27361.5"/>
    <n v="5825"/>
    <n v="0"/>
    <n v="9728"/>
    <n v="740"/>
    <n v="1850"/>
    <n v="0"/>
    <n v="16340.5"/>
    <n v="0"/>
    <n v="281"/>
    <n v="281"/>
    <n v="0"/>
    <n v="0"/>
    <n v="0"/>
    <n v="0"/>
    <n v="0"/>
    <n v="8"/>
    <n v="0"/>
    <n v="0"/>
    <n v="8"/>
    <n v="0"/>
    <n v="0"/>
    <n v="0"/>
    <x v="3"/>
  </r>
  <r>
    <s v="代理事业部四川省"/>
    <x v="0"/>
    <s v="招商6区"/>
    <x v="18"/>
    <n v="0"/>
    <n v="0"/>
    <n v="95217"/>
    <n v="2570"/>
    <n v="0"/>
    <n v="0"/>
    <n v="0"/>
    <n v="0"/>
    <n v="0"/>
    <n v="99072"/>
    <n v="0"/>
    <n v="0"/>
    <n v="1698"/>
    <n v="0"/>
    <n v="0"/>
    <n v="0"/>
    <n v="1698"/>
    <n v="0"/>
    <n v="8190"/>
    <n v="8190"/>
    <n v="420"/>
    <n v="0"/>
    <n v="0"/>
    <n v="420"/>
    <n v="0"/>
    <n v="1640"/>
    <n v="0"/>
    <n v="0"/>
    <n v="1640"/>
    <n v="0"/>
    <n v="0"/>
    <n v="0"/>
    <x v="3"/>
  </r>
  <r>
    <s v="代理事业部重庆市"/>
    <x v="0"/>
    <s v="招商6区"/>
    <x v="19"/>
    <n v="0"/>
    <n v="0"/>
    <n v="3380"/>
    <n v="19885"/>
    <n v="0"/>
    <n v="1038"/>
    <n v="0"/>
    <n v="148"/>
    <n v="0"/>
    <n v="36098"/>
    <n v="0"/>
    <n v="0"/>
    <n v="1796"/>
    <n v="0"/>
    <n v="0"/>
    <n v="0"/>
    <n v="1796"/>
    <n v="0"/>
    <n v="8680"/>
    <n v="8680"/>
    <n v="10"/>
    <n v="0"/>
    <n v="0"/>
    <n v="10"/>
    <n v="0"/>
    <n v="100"/>
    <n v="0"/>
    <n v="0"/>
    <n v="100"/>
    <n v="0"/>
    <n v="0"/>
    <n v="0"/>
    <x v="3"/>
  </r>
  <r>
    <s v="代理事业部贵州省"/>
    <x v="0"/>
    <s v="招商6区"/>
    <x v="20"/>
    <n v="0"/>
    <n v="0"/>
    <n v="-94"/>
    <n v="4151"/>
    <n v="0"/>
    <n v="6671"/>
    <n v="0"/>
    <n v="0"/>
    <n v="0"/>
    <n v="21142.25"/>
    <n v="0"/>
    <n v="0"/>
    <n v="0"/>
    <n v="110"/>
    <n v="0"/>
    <n v="0"/>
    <n v="137.5"/>
    <n v="0"/>
    <n v="610"/>
    <n v="610"/>
    <n v="0"/>
    <n v="0"/>
    <n v="0"/>
    <n v="0"/>
    <n v="0"/>
    <n v="-50"/>
    <n v="0"/>
    <n v="0"/>
    <n v="-50"/>
    <n v="0"/>
    <n v="0"/>
    <n v="0"/>
    <x v="3"/>
  </r>
  <r>
    <s v="代理事业部广西壮族自治区"/>
    <x v="0"/>
    <s v="招商7区"/>
    <x v="21"/>
    <n v="0"/>
    <n v="0"/>
    <n v="0"/>
    <n v="25114"/>
    <n v="0"/>
    <n v="0"/>
    <n v="0"/>
    <n v="0"/>
    <n v="0"/>
    <n v="37671"/>
    <n v="0"/>
    <n v="0"/>
    <n v="10062"/>
    <n v="0"/>
    <n v="2940"/>
    <n v="0"/>
    <n v="14472"/>
    <n v="-65"/>
    <n v="0"/>
    <n v="-32.5"/>
    <n v="0"/>
    <n v="0"/>
    <n v="0"/>
    <n v="0"/>
    <n v="0"/>
    <n v="1260"/>
    <n v="0"/>
    <n v="0"/>
    <n v="1260"/>
    <n v="0"/>
    <n v="0"/>
    <n v="0"/>
    <x v="3"/>
  </r>
  <r>
    <s v="代理事业部湖南省"/>
    <x v="0"/>
    <s v="招商7区"/>
    <x v="22"/>
    <n v="0"/>
    <n v="0"/>
    <n v="0"/>
    <n v="40849"/>
    <n v="0"/>
    <n v="120"/>
    <n v="0"/>
    <n v="0"/>
    <n v="0"/>
    <n v="61543.5"/>
    <n v="0"/>
    <n v="0"/>
    <n v="2704"/>
    <n v="0"/>
    <n v="0"/>
    <n v="0"/>
    <n v="2704"/>
    <n v="0"/>
    <n v="6305"/>
    <n v="6305"/>
    <n v="100"/>
    <n v="0"/>
    <n v="0"/>
    <n v="100"/>
    <n v="0"/>
    <n v="0"/>
    <n v="0"/>
    <n v="0"/>
    <n v="0"/>
    <n v="0"/>
    <n v="0"/>
    <n v="0"/>
    <x v="3"/>
  </r>
  <r>
    <s v="销售一部河北省"/>
    <x v="1"/>
    <s v="华北大区"/>
    <x v="9"/>
    <n v="0"/>
    <n v="0"/>
    <n v="21"/>
    <n v="33070"/>
    <n v="0"/>
    <n v="0"/>
    <n v="0"/>
    <n v="0"/>
    <n v="0"/>
    <n v="49626"/>
    <n v="0"/>
    <n v="0"/>
    <n v="0"/>
    <n v="0"/>
    <n v="0"/>
    <n v="0"/>
    <n v="0"/>
    <n v="0"/>
    <n v="120"/>
    <n v="120"/>
    <n v="1100"/>
    <n v="0"/>
    <n v="0"/>
    <n v="1100"/>
    <n v="0"/>
    <n v="0"/>
    <n v="0"/>
    <n v="0"/>
    <n v="0"/>
    <n v="0"/>
    <n v="0"/>
    <n v="0"/>
    <x v="3"/>
  </r>
  <r>
    <s v="销售一部黑龙江省"/>
    <x v="1"/>
    <s v="华北大区"/>
    <x v="12"/>
    <n v="0"/>
    <n v="0"/>
    <n v="159"/>
    <n v="2940"/>
    <n v="0"/>
    <n v="4140"/>
    <n v="0"/>
    <n v="0"/>
    <n v="0"/>
    <n v="138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销售一部吉林省"/>
    <x v="1"/>
    <s v="华北大区"/>
    <x v="14"/>
    <n v="0"/>
    <n v="0"/>
    <n v="51"/>
    <n v="0"/>
    <n v="0"/>
    <n v="310"/>
    <n v="0"/>
    <n v="7924"/>
    <n v="0"/>
    <n v="3046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销售一部辽宁省"/>
    <x v="1"/>
    <s v="华北大区"/>
    <x v="13"/>
    <n v="0"/>
    <n v="0"/>
    <n v="122"/>
    <n v="500"/>
    <n v="0"/>
    <n v="400"/>
    <n v="0"/>
    <n v="1488"/>
    <n v="0"/>
    <n v="7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销售一部山东省"/>
    <x v="1"/>
    <s v="华北大区"/>
    <x v="1"/>
    <n v="0"/>
    <n v="0"/>
    <n v="11477"/>
    <n v="15360"/>
    <n v="0"/>
    <n v="0"/>
    <n v="0"/>
    <n v="0"/>
    <n v="0"/>
    <n v="34517"/>
    <n v="0"/>
    <n v="0"/>
    <n v="0"/>
    <n v="0"/>
    <n v="0"/>
    <n v="0"/>
    <n v="0"/>
    <n v="0"/>
    <n v="0"/>
    <n v="0"/>
    <n v="915"/>
    <n v="0"/>
    <n v="0"/>
    <n v="915"/>
    <n v="0"/>
    <n v="0"/>
    <n v="0"/>
    <n v="0"/>
    <n v="0"/>
    <n v="0"/>
    <n v="0"/>
    <n v="0"/>
    <x v="3"/>
  </r>
  <r>
    <s v="销售一部山西省"/>
    <x v="1"/>
    <s v="华北大区"/>
    <x v="10"/>
    <n v="0"/>
    <n v="0"/>
    <n v="0"/>
    <n v="5569"/>
    <n v="0"/>
    <n v="0"/>
    <n v="0"/>
    <n v="0"/>
    <n v="0"/>
    <n v="8353.5"/>
    <n v="0"/>
    <n v="0"/>
    <n v="0"/>
    <n v="0"/>
    <n v="0"/>
    <n v="0"/>
    <n v="0"/>
    <n v="0"/>
    <n v="0"/>
    <n v="0"/>
    <n v="30"/>
    <n v="0"/>
    <n v="0"/>
    <n v="30"/>
    <n v="0"/>
    <n v="0"/>
    <n v="0"/>
    <n v="0"/>
    <n v="0"/>
    <n v="0"/>
    <n v="0"/>
    <n v="0"/>
    <x v="3"/>
  </r>
  <r>
    <s v="销售一部天津市"/>
    <x v="1"/>
    <s v="华北大区"/>
    <x v="11"/>
    <n v="0"/>
    <n v="0"/>
    <n v="0"/>
    <n v="2434"/>
    <n v="0"/>
    <n v="230"/>
    <n v="0"/>
    <n v="136"/>
    <n v="0"/>
    <n v="467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销售一部安徽省"/>
    <x v="1"/>
    <s v="华中大区"/>
    <x v="7"/>
    <n v="0"/>
    <n v="0"/>
    <n v="355"/>
    <n v="15410"/>
    <n v="0"/>
    <n v="0"/>
    <n v="0"/>
    <n v="0"/>
    <n v="0"/>
    <n v="23470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x v="3"/>
  </r>
  <r>
    <s v="销售一部湖北省"/>
    <x v="1"/>
    <s v="华中大区"/>
    <x v="16"/>
    <n v="0"/>
    <n v="0"/>
    <n v="30048"/>
    <n v="0"/>
    <n v="0"/>
    <n v="0"/>
    <n v="0"/>
    <n v="0"/>
    <n v="0"/>
    <n v="30048"/>
    <n v="0"/>
    <n v="0"/>
    <n v="461"/>
    <n v="0"/>
    <n v="0"/>
    <n v="0"/>
    <n v="461"/>
    <n v="0"/>
    <n v="0"/>
    <n v="0"/>
    <n v="480"/>
    <n v="0"/>
    <n v="0"/>
    <n v="480"/>
    <n v="0"/>
    <n v="0"/>
    <n v="0"/>
    <n v="0"/>
    <n v="0"/>
    <n v="0"/>
    <n v="0"/>
    <n v="0"/>
    <x v="3"/>
  </r>
  <r>
    <s v="销售一部江西省"/>
    <x v="1"/>
    <s v="华中大区"/>
    <x v="8"/>
    <n v="0"/>
    <n v="0"/>
    <n v="0"/>
    <n v="1860"/>
    <n v="0"/>
    <n v="1320"/>
    <n v="0"/>
    <n v="4904"/>
    <n v="0"/>
    <n v="24150"/>
    <n v="0"/>
    <n v="0"/>
    <n v="0"/>
    <n v="0"/>
    <n v="0"/>
    <n v="0"/>
    <n v="0"/>
    <n v="0"/>
    <n v="0"/>
    <n v="0"/>
    <n v="140"/>
    <n v="0"/>
    <n v="0"/>
    <n v="140"/>
    <n v="0"/>
    <n v="0"/>
    <n v="0"/>
    <n v="0"/>
    <n v="0"/>
    <n v="0"/>
    <n v="0"/>
    <n v="0"/>
    <x v="3"/>
  </r>
  <r>
    <s v="销售一部江苏省"/>
    <x v="1"/>
    <s v="华中大区"/>
    <x v="0"/>
    <n v="0"/>
    <n v="0"/>
    <n v="317"/>
    <n v="24340"/>
    <n v="0"/>
    <n v="0"/>
    <n v="0"/>
    <n v="3509"/>
    <n v="0"/>
    <n v="49985.75"/>
    <n v="0"/>
    <n v="0"/>
    <n v="0"/>
    <n v="0"/>
    <n v="0"/>
    <n v="0"/>
    <n v="0"/>
    <n v="0"/>
    <n v="0"/>
    <n v="0"/>
    <n v="150"/>
    <n v="0"/>
    <n v="0"/>
    <n v="150"/>
    <n v="0"/>
    <n v="0"/>
    <n v="0"/>
    <n v="0"/>
    <n v="0"/>
    <n v="0"/>
    <n v="0"/>
    <n v="0"/>
    <x v="3"/>
  </r>
  <r>
    <s v="销售一部四川省"/>
    <x v="1"/>
    <s v="西南大区"/>
    <x v="18"/>
    <n v="0"/>
    <n v="0"/>
    <n v="12450"/>
    <n v="2640"/>
    <n v="0"/>
    <n v="0"/>
    <n v="0"/>
    <n v="0"/>
    <n v="0"/>
    <n v="16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销售一部云南省"/>
    <x v="1"/>
    <s v="西南大区"/>
    <x v="17"/>
    <n v="0"/>
    <n v="0"/>
    <n v="43"/>
    <n v="3200"/>
    <n v="0"/>
    <n v="0"/>
    <n v="0"/>
    <n v="4518"/>
    <n v="0"/>
    <n v="21785.5"/>
    <n v="0"/>
    <n v="0"/>
    <n v="0"/>
    <n v="0"/>
    <n v="0"/>
    <n v="0"/>
    <n v="0"/>
    <n v="0"/>
    <n v="280"/>
    <n v="280"/>
    <n v="810"/>
    <n v="0"/>
    <n v="0"/>
    <n v="810"/>
    <n v="0"/>
    <n v="0"/>
    <n v="0"/>
    <n v="0"/>
    <n v="0"/>
    <n v="0"/>
    <n v="0"/>
    <n v="0"/>
    <x v="3"/>
  </r>
  <r>
    <s v="销售一部重庆市"/>
    <x v="1"/>
    <s v="西南大区"/>
    <x v="19"/>
    <n v="0"/>
    <n v="0"/>
    <n v="67"/>
    <n v="4480"/>
    <n v="0"/>
    <n v="8840"/>
    <n v="0"/>
    <n v="624"/>
    <n v="0"/>
    <n v="29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销售二部北京市"/>
    <x v="2"/>
    <s v="销售二部"/>
    <x v="23"/>
    <n v="0"/>
    <n v="0"/>
    <n v="14"/>
    <n v="15320"/>
    <n v="0"/>
    <n v="0"/>
    <n v="0"/>
    <n v="227"/>
    <n v="41800"/>
    <n v="337345.25"/>
    <n v="0"/>
    <n v="0"/>
    <n v="0"/>
    <n v="1340"/>
    <n v="0"/>
    <n v="9458"/>
    <n v="25320"/>
    <n v="0"/>
    <n v="37519"/>
    <n v="37519"/>
    <n v="533"/>
    <n v="0"/>
    <n v="0"/>
    <n v="533"/>
    <n v="0"/>
    <n v="1418"/>
    <n v="0"/>
    <n v="0"/>
    <n v="1418"/>
    <n v="0"/>
    <n v="0"/>
    <n v="0"/>
    <x v="3"/>
  </r>
  <r>
    <s v="销售三部福建省"/>
    <x v="3"/>
    <s v="销售三部"/>
    <x v="24"/>
    <n v="0"/>
    <n v="18"/>
    <n v="0"/>
    <n v="55297"/>
    <n v="0"/>
    <n v="0"/>
    <n v="0"/>
    <n v="0"/>
    <n v="0"/>
    <n v="82959"/>
    <n v="0"/>
    <n v="0"/>
    <n v="0"/>
    <n v="0"/>
    <n v="0"/>
    <n v="0"/>
    <n v="0"/>
    <n v="0"/>
    <n v="0"/>
    <n v="0"/>
    <n v="590"/>
    <n v="0"/>
    <n v="0"/>
    <n v="590"/>
    <n v="0"/>
    <n v="0"/>
    <n v="0"/>
    <n v="0"/>
    <n v="0"/>
    <n v="0"/>
    <n v="0"/>
    <n v="0"/>
    <x v="3"/>
  </r>
  <r>
    <s v="销售三部浙江省"/>
    <x v="3"/>
    <s v="销售三部"/>
    <x v="25"/>
    <n v="25"/>
    <n v="765"/>
    <n v="312854"/>
    <n v="5438"/>
    <n v="0"/>
    <n v="0"/>
    <n v="0"/>
    <n v="0"/>
    <n v="0"/>
    <n v="321597.25"/>
    <n v="0"/>
    <n v="0"/>
    <n v="75"/>
    <n v="0"/>
    <n v="123139"/>
    <n v="0"/>
    <n v="184783.5"/>
    <n v="0"/>
    <n v="30686"/>
    <n v="30686"/>
    <n v="37741"/>
    <n v="0"/>
    <n v="0"/>
    <n v="37741"/>
    <n v="0"/>
    <n v="1634"/>
    <n v="0"/>
    <n v="0"/>
    <n v="1634"/>
    <n v="0"/>
    <n v="0"/>
    <n v="0"/>
    <x v="3"/>
  </r>
  <r>
    <s v="销售四部广东省"/>
    <x v="4"/>
    <s v="销售四部"/>
    <x v="26"/>
    <n v="0"/>
    <n v="0"/>
    <n v="5127"/>
    <n v="272028"/>
    <n v="0"/>
    <n v="0"/>
    <n v="0"/>
    <n v="0"/>
    <n v="0"/>
    <n v="413169"/>
    <n v="0"/>
    <n v="0"/>
    <n v="1556"/>
    <n v="0"/>
    <n v="56314"/>
    <n v="3100"/>
    <n v="93777"/>
    <n v="0"/>
    <n v="52311"/>
    <n v="52311"/>
    <n v="2470"/>
    <n v="0"/>
    <n v="0"/>
    <n v="2470"/>
    <n v="0"/>
    <n v="1838"/>
    <n v="0"/>
    <n v="0"/>
    <n v="1838"/>
    <n v="0"/>
    <n v="0"/>
    <n v="0"/>
    <x v="3"/>
  </r>
  <r>
    <s v="销售四部海南省"/>
    <x v="4"/>
    <s v="销售四部"/>
    <x v="27"/>
    <n v="0"/>
    <n v="0"/>
    <n v="0"/>
    <n v="16503"/>
    <n v="0"/>
    <n v="0"/>
    <n v="0"/>
    <n v="0"/>
    <n v="0"/>
    <n v="24754.5"/>
    <n v="0"/>
    <n v="0"/>
    <n v="6295"/>
    <n v="0"/>
    <n v="0"/>
    <n v="0"/>
    <n v="6295"/>
    <n v="0"/>
    <n v="2770"/>
    <n v="2770"/>
    <n v="60"/>
    <n v="0"/>
    <n v="0"/>
    <n v="60"/>
    <n v="0"/>
    <n v="0"/>
    <n v="0"/>
    <n v="0"/>
    <n v="0"/>
    <n v="0"/>
    <n v="0"/>
    <n v="0"/>
    <x v="3"/>
  </r>
  <r>
    <s v="销售五部甘肃省"/>
    <x v="5"/>
    <s v="销售五部"/>
    <x v="28"/>
    <n v="0"/>
    <n v="0"/>
    <n v="13473"/>
    <n v="29376"/>
    <n v="0"/>
    <n v="0"/>
    <n v="0"/>
    <n v="0"/>
    <n v="0"/>
    <n v="57537"/>
    <n v="0"/>
    <n v="0"/>
    <n v="214"/>
    <n v="0"/>
    <n v="0"/>
    <n v="0"/>
    <n v="214"/>
    <n v="0"/>
    <n v="1120"/>
    <n v="1120"/>
    <n v="1175"/>
    <n v="0"/>
    <n v="0"/>
    <n v="1175"/>
    <n v="0"/>
    <n v="0"/>
    <n v="0"/>
    <n v="0"/>
    <n v="0"/>
    <n v="0"/>
    <n v="0"/>
    <n v="0"/>
    <x v="3"/>
  </r>
  <r>
    <s v="销售五部河南省"/>
    <x v="5"/>
    <s v="销售五部"/>
    <x v="29"/>
    <n v="0"/>
    <n v="0"/>
    <n v="8763"/>
    <n v="201266"/>
    <n v="60"/>
    <n v="0"/>
    <n v="0"/>
    <n v="0"/>
    <n v="0"/>
    <n v="310782"/>
    <n v="0"/>
    <n v="0"/>
    <n v="3403"/>
    <n v="0"/>
    <n v="0"/>
    <n v="0"/>
    <n v="3403"/>
    <n v="373"/>
    <n v="16517"/>
    <n v="16703.5"/>
    <n v="1886"/>
    <n v="0"/>
    <n v="0"/>
    <n v="1886"/>
    <n v="0"/>
    <n v="2828"/>
    <n v="0"/>
    <n v="0"/>
    <n v="2828"/>
    <n v="0"/>
    <n v="0"/>
    <n v="0"/>
    <x v="3"/>
  </r>
  <r>
    <s v="销售五部陕西省"/>
    <x v="5"/>
    <s v="销售五部"/>
    <x v="2"/>
    <n v="0"/>
    <n v="0"/>
    <n v="298"/>
    <n v="36413"/>
    <n v="0"/>
    <n v="10040"/>
    <n v="0"/>
    <n v="240"/>
    <n v="0"/>
    <n v="78407.5"/>
    <n v="0"/>
    <n v="0"/>
    <n v="180"/>
    <n v="0"/>
    <n v="0"/>
    <n v="0"/>
    <n v="180"/>
    <n v="0"/>
    <n v="130"/>
    <n v="130"/>
    <n v="65"/>
    <n v="0"/>
    <n v="0"/>
    <n v="65"/>
    <n v="0"/>
    <n v="0"/>
    <n v="0"/>
    <n v="0"/>
    <n v="0"/>
    <n v="0"/>
    <n v="0"/>
    <n v="0"/>
    <x v="3"/>
  </r>
  <r>
    <s v="OTC浙江省"/>
    <x v="6"/>
    <m/>
    <x v="25"/>
    <n v="0"/>
    <n v="39297"/>
    <n v="0"/>
    <n v="395"/>
    <n v="0"/>
    <n v="0"/>
    <n v="480"/>
    <n v="82"/>
    <n v="0"/>
    <n v="31812.75"/>
    <n v="0"/>
    <n v="30"/>
    <n v="1250"/>
    <n v="0"/>
    <n v="6614"/>
    <n v="0"/>
    <n v="11193.5"/>
    <n v="0"/>
    <n v="0"/>
    <n v="0"/>
    <n v="0"/>
    <n v="0"/>
    <n v="0"/>
    <n v="0"/>
    <n v="0"/>
    <n v="180"/>
    <n v="0"/>
    <n v="0"/>
    <n v="180"/>
    <n v="0"/>
    <n v="0"/>
    <n v="0"/>
    <x v="3"/>
  </r>
  <r>
    <s v="OTC安徽省"/>
    <x v="6"/>
    <m/>
    <x v="7"/>
    <n v="0"/>
    <n v="2480"/>
    <n v="0"/>
    <n v="0"/>
    <n v="0"/>
    <n v="0"/>
    <n v="0"/>
    <n v="0"/>
    <n v="0"/>
    <n v="1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江西省"/>
    <x v="6"/>
    <m/>
    <x v="8"/>
    <n v="0"/>
    <n v="6842"/>
    <n v="0"/>
    <n v="0"/>
    <n v="0"/>
    <n v="0"/>
    <n v="2688"/>
    <n v="0"/>
    <n v="0"/>
    <n v="13195.5"/>
    <n v="0"/>
    <n v="1200"/>
    <n v="0"/>
    <n v="0"/>
    <n v="0"/>
    <n v="0"/>
    <n v="900"/>
    <n v="0"/>
    <n v="0"/>
    <n v="0"/>
    <n v="0"/>
    <n v="0"/>
    <n v="0"/>
    <n v="0"/>
    <n v="0"/>
    <n v="0"/>
    <n v="0"/>
    <n v="0"/>
    <n v="0"/>
    <n v="0"/>
    <n v="0"/>
    <n v="0"/>
    <x v="3"/>
  </r>
  <r>
    <s v="OTC江苏省"/>
    <x v="6"/>
    <m/>
    <x v="0"/>
    <n v="0"/>
    <n v="5848"/>
    <n v="0"/>
    <n v="0"/>
    <n v="0"/>
    <n v="0"/>
    <n v="0"/>
    <n v="0"/>
    <n v="0"/>
    <n v="43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山东省"/>
    <x v="6"/>
    <m/>
    <x v="1"/>
    <n v="0"/>
    <n v="15378"/>
    <n v="300"/>
    <n v="0"/>
    <n v="0"/>
    <n v="0"/>
    <n v="0"/>
    <n v="0"/>
    <n v="0"/>
    <n v="1183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福建省"/>
    <x v="6"/>
    <m/>
    <x v="24"/>
    <n v="0"/>
    <n v="6410"/>
    <n v="0"/>
    <n v="0"/>
    <n v="0"/>
    <n v="0"/>
    <n v="1440"/>
    <n v="0"/>
    <n v="0"/>
    <n v="91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广东省"/>
    <x v="6"/>
    <m/>
    <x v="26"/>
    <n v="0"/>
    <n v="84501"/>
    <n v="0"/>
    <n v="0"/>
    <n v="0"/>
    <n v="0"/>
    <n v="4416"/>
    <n v="0"/>
    <n v="0"/>
    <n v="76623.75"/>
    <n v="0"/>
    <n v="1103"/>
    <n v="0"/>
    <n v="0"/>
    <n v="0"/>
    <n v="0"/>
    <n v="827.25"/>
    <n v="0"/>
    <n v="0"/>
    <n v="0"/>
    <n v="0"/>
    <n v="0"/>
    <n v="0"/>
    <n v="0"/>
    <n v="0"/>
    <n v="0"/>
    <n v="350"/>
    <n v="0"/>
    <n v="409.5"/>
    <n v="0"/>
    <n v="0"/>
    <n v="0"/>
    <x v="3"/>
  </r>
  <r>
    <s v="OTC海南省"/>
    <x v="6"/>
    <m/>
    <x v="27"/>
    <n v="0"/>
    <n v="1760"/>
    <n v="0"/>
    <n v="0"/>
    <n v="0"/>
    <n v="0"/>
    <n v="0"/>
    <n v="0"/>
    <n v="0"/>
    <n v="1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湖南省"/>
    <x v="6"/>
    <m/>
    <x v="22"/>
    <n v="0"/>
    <n v="3396"/>
    <n v="0"/>
    <n v="0"/>
    <n v="0"/>
    <n v="0"/>
    <n v="-8208"/>
    <n v="0"/>
    <n v="0"/>
    <n v="-22077"/>
    <n v="0"/>
    <n v="4680"/>
    <n v="0"/>
    <n v="0"/>
    <n v="0"/>
    <n v="0"/>
    <n v="3510"/>
    <n v="0"/>
    <n v="0"/>
    <n v="0"/>
    <n v="0"/>
    <n v="0"/>
    <n v="0"/>
    <n v="0"/>
    <n v="0"/>
    <n v="0"/>
    <n v="0"/>
    <n v="0"/>
    <n v="0"/>
    <n v="0"/>
    <n v="0"/>
    <n v="0"/>
    <x v="3"/>
  </r>
  <r>
    <s v="OTC湖北省"/>
    <x v="6"/>
    <m/>
    <x v="16"/>
    <n v="0"/>
    <n v="5568"/>
    <n v="0"/>
    <n v="0"/>
    <n v="0"/>
    <n v="0"/>
    <n v="5712"/>
    <n v="0"/>
    <n v="0"/>
    <n v="21312"/>
    <n v="0"/>
    <n v="300"/>
    <n v="0"/>
    <n v="0"/>
    <n v="0"/>
    <n v="0"/>
    <n v="225"/>
    <n v="0"/>
    <n v="0"/>
    <n v="0"/>
    <n v="0"/>
    <n v="0"/>
    <n v="0"/>
    <n v="0"/>
    <n v="0"/>
    <n v="0"/>
    <n v="0"/>
    <n v="0"/>
    <n v="0"/>
    <n v="0"/>
    <n v="0"/>
    <n v="0"/>
    <x v="3"/>
  </r>
  <r>
    <s v="OTC广西壮族自治区"/>
    <x v="6"/>
    <m/>
    <x v="21"/>
    <n v="0"/>
    <n v="8592"/>
    <n v="0"/>
    <n v="0"/>
    <n v="0"/>
    <n v="0"/>
    <n v="0"/>
    <n v="0"/>
    <n v="0"/>
    <n v="6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贵州省"/>
    <x v="6"/>
    <m/>
    <x v="20"/>
    <n v="0"/>
    <n v="168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云南省"/>
    <x v="6"/>
    <m/>
    <x v="17"/>
    <n v="0"/>
    <n v="420"/>
    <n v="0"/>
    <n v="2477"/>
    <n v="0"/>
    <n v="0"/>
    <n v="0"/>
    <n v="1435"/>
    <n v="0"/>
    <n v="941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陕西省"/>
    <x v="6"/>
    <m/>
    <x v="2"/>
    <n v="0"/>
    <n v="15745"/>
    <n v="0"/>
    <n v="0"/>
    <n v="0"/>
    <n v="0"/>
    <n v="480"/>
    <n v="0"/>
    <n v="0"/>
    <n v="13248.75"/>
    <n v="0"/>
    <n v="810"/>
    <n v="0"/>
    <n v="0"/>
    <n v="0"/>
    <n v="0"/>
    <n v="607.5"/>
    <n v="0"/>
    <n v="0"/>
    <n v="0"/>
    <n v="0"/>
    <n v="0"/>
    <n v="0"/>
    <n v="0"/>
    <n v="0"/>
    <n v="0"/>
    <n v="0"/>
    <n v="0"/>
    <n v="0"/>
    <n v="0"/>
    <n v="0"/>
    <n v="0"/>
    <x v="3"/>
  </r>
  <r>
    <s v="OTC四川省"/>
    <x v="6"/>
    <m/>
    <x v="18"/>
    <n v="0"/>
    <n v="4730"/>
    <n v="0"/>
    <n v="0"/>
    <n v="0"/>
    <n v="0"/>
    <n v="0"/>
    <n v="0"/>
    <n v="0"/>
    <n v="354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重庆市"/>
    <x v="6"/>
    <m/>
    <x v="19"/>
    <n v="0"/>
    <n v="3117"/>
    <n v="0"/>
    <n v="0"/>
    <n v="0"/>
    <n v="0"/>
    <n v="0"/>
    <n v="0"/>
    <n v="0"/>
    <n v="2337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甘肃省"/>
    <x v="6"/>
    <m/>
    <x v="28"/>
    <n v="0"/>
    <n v="4140"/>
    <n v="0"/>
    <n v="0"/>
    <n v="0"/>
    <n v="0"/>
    <n v="0"/>
    <n v="0"/>
    <n v="0"/>
    <n v="3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北京市"/>
    <x v="6"/>
    <m/>
    <x v="23"/>
    <n v="0"/>
    <n v="6035"/>
    <n v="0"/>
    <n v="0"/>
    <n v="0"/>
    <n v="0"/>
    <n v="0"/>
    <n v="0"/>
    <n v="0"/>
    <n v="452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OTC河北省"/>
    <x v="6"/>
    <m/>
    <x v="9"/>
    <n v="0"/>
    <n v="29235"/>
    <n v="0"/>
    <n v="0"/>
    <n v="0"/>
    <n v="0"/>
    <n v="10892"/>
    <n v="0"/>
    <n v="0"/>
    <n v="54602.25"/>
    <n v="0"/>
    <n v="24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x v="3"/>
  </r>
  <r>
    <s v="OTC天津市"/>
    <x v="6"/>
    <m/>
    <x v="11"/>
    <n v="0"/>
    <n v="1160"/>
    <n v="165"/>
    <n v="0"/>
    <n v="0"/>
    <n v="0"/>
    <n v="0"/>
    <n v="0"/>
    <n v="0"/>
    <n v="1035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40.949999999999996"/>
    <n v="0"/>
    <n v="0"/>
    <n v="0"/>
    <x v="3"/>
  </r>
  <r>
    <s v="OTC河南省"/>
    <x v="6"/>
    <m/>
    <x v="29"/>
    <n v="0"/>
    <n v="31661"/>
    <n v="0"/>
    <n v="0"/>
    <n v="0"/>
    <n v="0"/>
    <n v="0"/>
    <n v="0"/>
    <n v="0"/>
    <n v="23745.75"/>
    <n v="0"/>
    <n v="5"/>
    <n v="0"/>
    <n v="0"/>
    <n v="0"/>
    <n v="0"/>
    <n v="3.75"/>
    <n v="0"/>
    <n v="0"/>
    <n v="0"/>
    <n v="0"/>
    <n v="0"/>
    <n v="0"/>
    <n v="0"/>
    <n v="0"/>
    <n v="0"/>
    <n v="3450"/>
    <n v="0"/>
    <n v="4036.4999999999995"/>
    <n v="0"/>
    <n v="0"/>
    <n v="0"/>
    <x v="3"/>
  </r>
  <r>
    <s v="OTC山西省"/>
    <x v="6"/>
    <m/>
    <x v="10"/>
    <n v="0"/>
    <n v="9261"/>
    <n v="0"/>
    <n v="0"/>
    <n v="0"/>
    <n v="0"/>
    <n v="0"/>
    <n v="0"/>
    <n v="0"/>
    <n v="6945.75"/>
    <n v="0"/>
    <n v="229"/>
    <n v="0"/>
    <n v="0"/>
    <n v="0"/>
    <n v="0"/>
    <n v="171.75"/>
    <n v="0"/>
    <n v="0"/>
    <n v="0"/>
    <n v="0"/>
    <n v="0"/>
    <n v="0"/>
    <n v="0"/>
    <n v="0"/>
    <n v="0"/>
    <n v="0"/>
    <n v="0"/>
    <n v="0"/>
    <n v="0"/>
    <n v="0"/>
    <n v="0"/>
    <x v="3"/>
  </r>
  <r>
    <s v="OTC黑龙江省"/>
    <x v="6"/>
    <m/>
    <x v="12"/>
    <n v="0"/>
    <n v="7796"/>
    <n v="0"/>
    <n v="0"/>
    <n v="0"/>
    <n v="0"/>
    <n v="576"/>
    <n v="0"/>
    <n v="0"/>
    <n v="7575"/>
    <n v="0"/>
    <n v="0"/>
    <n v="0"/>
    <n v="0"/>
    <n v="0"/>
    <n v="0"/>
    <n v="0"/>
    <n v="0"/>
    <n v="0"/>
    <n v="0"/>
    <n v="0"/>
    <n v="0"/>
    <n v="0"/>
    <n v="0"/>
    <n v="0"/>
    <n v="0"/>
    <n v="315"/>
    <n v="0"/>
    <n v="368.54999999999995"/>
    <n v="0"/>
    <n v="0"/>
    <n v="0"/>
    <x v="3"/>
  </r>
  <r>
    <s v="OTC吉林省"/>
    <x v="6"/>
    <m/>
    <x v="14"/>
    <n v="0"/>
    <n v="6381"/>
    <n v="0"/>
    <n v="0"/>
    <n v="0"/>
    <n v="0"/>
    <n v="0"/>
    <n v="0"/>
    <n v="0"/>
    <n v="4785.75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35.099999999999994"/>
    <n v="0"/>
    <n v="0"/>
    <n v="0"/>
    <x v="3"/>
  </r>
  <r>
    <s v="OTC辽宁省"/>
    <x v="6"/>
    <m/>
    <x v="13"/>
    <n v="0"/>
    <n v="11840"/>
    <n v="0"/>
    <n v="0"/>
    <n v="0"/>
    <n v="0"/>
    <n v="0"/>
    <n v="0"/>
    <n v="0"/>
    <n v="8880"/>
    <n v="0"/>
    <n v="1047"/>
    <n v="0"/>
    <n v="0"/>
    <n v="0"/>
    <n v="0"/>
    <n v="785.25"/>
    <n v="0"/>
    <n v="0"/>
    <n v="0"/>
    <n v="0"/>
    <n v="0"/>
    <n v="0"/>
    <n v="0"/>
    <n v="0"/>
    <n v="0"/>
    <n v="270"/>
    <n v="0"/>
    <n v="315.89999999999998"/>
    <n v="0"/>
    <n v="0"/>
    <n v="0"/>
    <x v="3"/>
  </r>
  <r>
    <s v="电商部电商"/>
    <x v="7"/>
    <s v="电商部"/>
    <x v="30"/>
    <n v="11537"/>
    <n v="7157"/>
    <n v="6625"/>
    <n v="7478"/>
    <n v="2019"/>
    <n v="27075"/>
    <n v="0"/>
    <n v="0"/>
    <n v="700"/>
    <n v="99185"/>
    <n v="0"/>
    <n v="305"/>
    <n v="1255"/>
    <n v="0"/>
    <n v="7168"/>
    <n v="0"/>
    <n v="12235.75"/>
    <n v="0"/>
    <n v="12559"/>
    <n v="12559"/>
    <n v="215"/>
    <n v="0"/>
    <n v="0"/>
    <n v="215"/>
    <n v="0"/>
    <n v="0"/>
    <n v="0"/>
    <n v="375"/>
    <n v="498.75"/>
    <n v="0"/>
    <n v="2505"/>
    <n v="4383.75"/>
    <x v="3"/>
  </r>
  <r>
    <s v="上海事业部上海市"/>
    <x v="8"/>
    <s v="上海大包"/>
    <x v="31"/>
    <n v="0"/>
    <n v="540"/>
    <n v="89204"/>
    <n v="89638.11"/>
    <n v="0"/>
    <n v="0"/>
    <n v="816"/>
    <n v="0"/>
    <n v="0"/>
    <n v="226514.16500000001"/>
    <n v="1839"/>
    <n v="0"/>
    <n v="60761"/>
    <n v="0"/>
    <n v="1970"/>
    <n v="146"/>
    <n v="65000.5"/>
    <n v="0"/>
    <n v="51869"/>
    <n v="51869"/>
    <n v="0"/>
    <n v="0"/>
    <n v="0"/>
    <n v="0"/>
    <n v="0"/>
    <n v="1905"/>
    <n v="0"/>
    <n v="0"/>
    <n v="1905"/>
    <n v="0"/>
    <n v="0"/>
    <n v="0"/>
    <x v="3"/>
  </r>
  <r>
    <s v="商务部河南省"/>
    <x v="9"/>
    <s v="商务部"/>
    <x v="29"/>
    <n v="0"/>
    <n v="3740"/>
    <n v="0"/>
    <n v="0"/>
    <n v="0"/>
    <n v="0"/>
    <n v="0"/>
    <n v="0"/>
    <n v="0"/>
    <n v="2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陕西省"/>
    <x v="9"/>
    <s v="商务部"/>
    <x v="2"/>
    <n v="0"/>
    <n v="7740"/>
    <n v="1440"/>
    <n v="0"/>
    <n v="0"/>
    <n v="0"/>
    <n v="0"/>
    <n v="0"/>
    <n v="0"/>
    <n v="7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湖北省"/>
    <x v="9"/>
    <s v="商务部"/>
    <x v="16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安徽省"/>
    <x v="9"/>
    <s v="商务部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山东省"/>
    <x v="9"/>
    <s v="商务部"/>
    <x v="1"/>
    <n v="0"/>
    <n v="1440"/>
    <n v="0"/>
    <n v="0"/>
    <n v="0"/>
    <n v="0"/>
    <n v="0"/>
    <n v="0"/>
    <n v="0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广东省"/>
    <x v="9"/>
    <s v="商务部"/>
    <x v="26"/>
    <n v="0"/>
    <n v="360"/>
    <n v="0"/>
    <n v="0"/>
    <n v="0"/>
    <n v="0"/>
    <n v="0"/>
    <n v="0"/>
    <n v="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江苏省"/>
    <x v="9"/>
    <s v="商务部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重庆市"/>
    <x v="9"/>
    <s v="商务部"/>
    <x v="19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四川省"/>
    <x v="9"/>
    <s v="商务部"/>
    <x v="18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湖南省"/>
    <x v="9"/>
    <s v="商务部"/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浙江省"/>
    <x v="9"/>
    <s v="商务部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北京市"/>
    <x v="9"/>
    <s v="商务部"/>
    <x v="23"/>
    <n v="0"/>
    <n v="540"/>
    <n v="0"/>
    <n v="0"/>
    <n v="0"/>
    <n v="0"/>
    <n v="0"/>
    <n v="0"/>
    <n v="0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河北省"/>
    <x v="9"/>
    <s v="商务部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黑龙江省"/>
    <x v="9"/>
    <s v="商务部"/>
    <x v="12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吉林省"/>
    <x v="9"/>
    <s v="商务部"/>
    <x v="14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江西省"/>
    <x v="9"/>
    <s v="商务部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辽宁省"/>
    <x v="9"/>
    <s v="商务部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山西省"/>
    <x v="9"/>
    <s v="商务部"/>
    <x v="10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云南省"/>
    <x v="9"/>
    <s v="商务部"/>
    <x v="17"/>
    <n v="0"/>
    <n v="25012"/>
    <n v="0"/>
    <n v="0"/>
    <n v="0"/>
    <n v="0"/>
    <n v="0"/>
    <n v="0"/>
    <n v="0"/>
    <n v="187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商务部福建省"/>
    <x v="9"/>
    <s v="商务部"/>
    <x v="24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"/>
  </r>
  <r>
    <s v="营销总部浙江省"/>
    <x v="10"/>
    <s v="营销总部"/>
    <x v="25"/>
    <n v="110"/>
    <n v="4732"/>
    <n v="10015"/>
    <n v="675"/>
    <n v="0"/>
    <n v="-199"/>
    <n v="3"/>
    <n v="1"/>
    <n v="7"/>
    <n v="14249"/>
    <n v="0"/>
    <n v="523"/>
    <n v="182"/>
    <n v="390"/>
    <n v="48"/>
    <n v="0"/>
    <n v="1133.75"/>
    <n v="2"/>
    <n v="2064"/>
    <n v="2065"/>
    <n v="84"/>
    <n v="0"/>
    <n v="0"/>
    <n v="84"/>
    <n v="0"/>
    <n v="31"/>
    <n v="1"/>
    <n v="0"/>
    <n v="32.17"/>
    <n v="0"/>
    <n v="0"/>
    <n v="0"/>
    <x v="3"/>
  </r>
  <r>
    <s v="代理事业部江苏省"/>
    <x v="0"/>
    <s v="招商1区"/>
    <x v="0"/>
    <n v="0"/>
    <n v="0"/>
    <n v="6754"/>
    <n v="74534"/>
    <n v="0"/>
    <n v="0"/>
    <n v="0"/>
    <n v="3466"/>
    <n v="0"/>
    <n v="131552.5"/>
    <n v="0"/>
    <n v="0"/>
    <n v="0"/>
    <n v="720"/>
    <n v="10557"/>
    <n v="27882"/>
    <n v="86440.5"/>
    <n v="0"/>
    <n v="21189"/>
    <n v="21189"/>
    <n v="50"/>
    <n v="0"/>
    <n v="0"/>
    <n v="50"/>
    <n v="0"/>
    <n v="1820"/>
    <n v="0"/>
    <n v="0"/>
    <n v="1820"/>
    <n v="0"/>
    <n v="0"/>
    <n v="0"/>
    <x v="4"/>
  </r>
  <r>
    <s v="代理事业部山东省"/>
    <x v="0"/>
    <s v="招商2区"/>
    <x v="1"/>
    <n v="0"/>
    <n v="0"/>
    <n v="56562"/>
    <n v="1560"/>
    <n v="0"/>
    <n v="0"/>
    <n v="0"/>
    <n v="0"/>
    <n v="0"/>
    <n v="58902"/>
    <n v="0"/>
    <n v="0"/>
    <n v="3120"/>
    <n v="0"/>
    <n v="23817"/>
    <n v="3787"/>
    <n v="48313"/>
    <n v="0"/>
    <n v="3996"/>
    <n v="3996"/>
    <n v="0"/>
    <n v="0"/>
    <n v="0"/>
    <n v="0"/>
    <n v="0"/>
    <n v="1005"/>
    <n v="0"/>
    <n v="0"/>
    <n v="1005"/>
    <n v="0"/>
    <n v="0"/>
    <n v="0"/>
    <x v="4"/>
  </r>
  <r>
    <s v="代理事业部陕西省"/>
    <x v="0"/>
    <s v="招商2区"/>
    <x v="2"/>
    <n v="0"/>
    <n v="0"/>
    <n v="1009"/>
    <n v="10437"/>
    <n v="0"/>
    <n v="3824"/>
    <n v="0"/>
    <n v="0"/>
    <n v="0"/>
    <n v="25268.5"/>
    <n v="0"/>
    <n v="0"/>
    <n v="347"/>
    <n v="0"/>
    <n v="0"/>
    <n v="0"/>
    <n v="347"/>
    <n v="0"/>
    <n v="3820"/>
    <n v="3820"/>
    <n v="0"/>
    <n v="0"/>
    <n v="0"/>
    <n v="0"/>
    <n v="0"/>
    <n v="190"/>
    <n v="0"/>
    <n v="0"/>
    <n v="190"/>
    <n v="0"/>
    <n v="0"/>
    <n v="0"/>
    <x v="4"/>
  </r>
  <r>
    <s v="代理事业部宁夏回族自治区"/>
    <x v="0"/>
    <s v="招商2区"/>
    <x v="3"/>
    <n v="0"/>
    <n v="0"/>
    <n v="0"/>
    <n v="8047"/>
    <n v="0"/>
    <n v="0"/>
    <n v="0"/>
    <n v="0"/>
    <n v="0"/>
    <n v="12070.5"/>
    <n v="0"/>
    <n v="0"/>
    <n v="0"/>
    <n v="0"/>
    <n v="0"/>
    <n v="0"/>
    <n v="0"/>
    <n v="0"/>
    <n v="249"/>
    <n v="249"/>
    <n v="0"/>
    <n v="0"/>
    <n v="0"/>
    <n v="0"/>
    <n v="0"/>
    <n v="1"/>
    <n v="0"/>
    <n v="0"/>
    <n v="1"/>
    <n v="0"/>
    <n v="0"/>
    <n v="0"/>
    <x v="4"/>
  </r>
  <r>
    <s v="代理事业部青海省"/>
    <x v="0"/>
    <s v="招商2区"/>
    <x v="4"/>
    <n v="0"/>
    <n v="0"/>
    <n v="1799"/>
    <n v="2209"/>
    <n v="0"/>
    <n v="0"/>
    <n v="0"/>
    <n v="0"/>
    <n v="0"/>
    <n v="5112.5"/>
    <n v="0"/>
    <n v="0"/>
    <n v="245"/>
    <n v="0"/>
    <n v="480"/>
    <n v="430"/>
    <n v="2040"/>
    <n v="0"/>
    <n v="2162"/>
    <n v="2162"/>
    <n v="5"/>
    <n v="0"/>
    <n v="0"/>
    <n v="5"/>
    <n v="0"/>
    <n v="50"/>
    <n v="0"/>
    <n v="0"/>
    <n v="50"/>
    <n v="0"/>
    <n v="0"/>
    <n v="0"/>
    <x v="4"/>
  </r>
  <r>
    <s v="代理事业部西藏自治区"/>
    <x v="0"/>
    <s v="招商6区"/>
    <x v="5"/>
    <n v="0"/>
    <n v="0"/>
    <n v="482"/>
    <n v="0"/>
    <n v="0"/>
    <n v="0"/>
    <n v="0"/>
    <n v="0"/>
    <n v="0"/>
    <n v="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代理事业部新疆维吾尔自治区"/>
    <x v="0"/>
    <s v="招商2区"/>
    <x v="6"/>
    <n v="0"/>
    <n v="0"/>
    <n v="3394"/>
    <n v="6270"/>
    <n v="0"/>
    <n v="5636"/>
    <n v="0"/>
    <n v="0"/>
    <n v="0"/>
    <n v="25480"/>
    <n v="0"/>
    <n v="0"/>
    <n v="57"/>
    <n v="0"/>
    <n v="0"/>
    <n v="0"/>
    <n v="57"/>
    <n v="0"/>
    <n v="4999"/>
    <n v="4999"/>
    <n v="44"/>
    <n v="0"/>
    <n v="0"/>
    <n v="44"/>
    <n v="0"/>
    <n v="0"/>
    <n v="0"/>
    <n v="0"/>
    <n v="0"/>
    <n v="0"/>
    <n v="0"/>
    <n v="0"/>
    <x v="4"/>
  </r>
  <r>
    <s v="代理事业部安徽省"/>
    <x v="0"/>
    <s v="招商3区"/>
    <x v="7"/>
    <n v="0"/>
    <n v="0"/>
    <n v="5445"/>
    <n v="13430"/>
    <n v="0"/>
    <n v="0"/>
    <n v="0"/>
    <n v="0"/>
    <n v="0"/>
    <n v="25590"/>
    <n v="840"/>
    <n v="0"/>
    <n v="7875"/>
    <n v="833"/>
    <n v="6825"/>
    <n v="0"/>
    <n v="19573.75"/>
    <n v="0"/>
    <n v="1340"/>
    <n v="1340"/>
    <n v="10"/>
    <n v="0"/>
    <n v="0"/>
    <n v="10"/>
    <n v="0"/>
    <n v="2210"/>
    <n v="0"/>
    <n v="0"/>
    <n v="2210"/>
    <n v="0"/>
    <n v="0"/>
    <n v="0"/>
    <x v="4"/>
  </r>
  <r>
    <s v="代理事业部江西省"/>
    <x v="0"/>
    <s v="招商3区"/>
    <x v="8"/>
    <n v="0"/>
    <n v="0"/>
    <n v="0"/>
    <n v="14226"/>
    <n v="0"/>
    <n v="960"/>
    <n v="0"/>
    <n v="5"/>
    <n v="0"/>
    <n v="23517.75"/>
    <n v="0"/>
    <n v="0"/>
    <n v="6703"/>
    <n v="1325"/>
    <n v="510"/>
    <n v="0"/>
    <n v="9124.25"/>
    <n v="0"/>
    <n v="5892"/>
    <n v="5892"/>
    <n v="0"/>
    <n v="0"/>
    <n v="0"/>
    <n v="0"/>
    <n v="250"/>
    <n v="3218"/>
    <n v="0"/>
    <n v="0"/>
    <n v="3385.5"/>
    <n v="0"/>
    <n v="0"/>
    <n v="0"/>
    <x v="4"/>
  </r>
  <r>
    <s v="代理事业部河北省"/>
    <x v="0"/>
    <s v="招商3区"/>
    <x v="9"/>
    <n v="0"/>
    <n v="0"/>
    <n v="0"/>
    <n v="72112"/>
    <n v="0"/>
    <n v="0"/>
    <n v="0"/>
    <n v="0"/>
    <n v="0"/>
    <n v="108168"/>
    <n v="0"/>
    <n v="0"/>
    <n v="255"/>
    <n v="0"/>
    <n v="0"/>
    <n v="0"/>
    <n v="255"/>
    <n v="0"/>
    <n v="10712"/>
    <n v="10712"/>
    <n v="180"/>
    <n v="0"/>
    <n v="0"/>
    <n v="180"/>
    <n v="0"/>
    <n v="0"/>
    <n v="0"/>
    <n v="0"/>
    <n v="0"/>
    <n v="0"/>
    <n v="0"/>
    <n v="0"/>
    <x v="4"/>
  </r>
  <r>
    <s v="代理事业部山西省"/>
    <x v="0"/>
    <s v="招商3区"/>
    <x v="10"/>
    <n v="0"/>
    <n v="0"/>
    <n v="0"/>
    <n v="16425"/>
    <n v="0"/>
    <n v="0"/>
    <n v="0"/>
    <n v="0"/>
    <n v="0"/>
    <n v="24637.5"/>
    <n v="0"/>
    <n v="0"/>
    <n v="10396"/>
    <n v="0"/>
    <n v="2229"/>
    <n v="0"/>
    <n v="13739.5"/>
    <n v="0"/>
    <n v="653"/>
    <n v="653"/>
    <n v="400"/>
    <n v="0"/>
    <n v="0"/>
    <n v="400"/>
    <n v="0"/>
    <n v="750"/>
    <n v="0"/>
    <n v="0"/>
    <n v="750"/>
    <n v="0"/>
    <n v="0"/>
    <n v="0"/>
    <x v="4"/>
  </r>
  <r>
    <s v="代理事业部天津市"/>
    <x v="0"/>
    <s v="招商3区"/>
    <x v="11"/>
    <n v="0"/>
    <n v="0"/>
    <n v="13"/>
    <n v="11627"/>
    <n v="0"/>
    <n v="4601"/>
    <n v="0"/>
    <n v="0"/>
    <n v="0"/>
    <n v="27805.75"/>
    <n v="0"/>
    <n v="0"/>
    <n v="1134"/>
    <n v="0"/>
    <n v="1067"/>
    <n v="0"/>
    <n v="2734.5"/>
    <n v="0"/>
    <n v="881"/>
    <n v="881"/>
    <n v="17"/>
    <n v="0"/>
    <n v="0"/>
    <n v="17"/>
    <n v="0"/>
    <n v="0"/>
    <n v="0"/>
    <n v="0"/>
    <n v="0"/>
    <n v="0"/>
    <n v="0"/>
    <n v="0"/>
    <x v="4"/>
  </r>
  <r>
    <s v="代理事业部黑龙江省"/>
    <x v="0"/>
    <s v="招商4区"/>
    <x v="12"/>
    <n v="0"/>
    <n v="0"/>
    <n v="110"/>
    <n v="6050"/>
    <n v="0"/>
    <n v="2317"/>
    <n v="0"/>
    <n v="532"/>
    <n v="0"/>
    <n v="16393.25"/>
    <n v="0"/>
    <n v="0"/>
    <n v="158"/>
    <n v="0"/>
    <n v="377"/>
    <n v="4657"/>
    <n v="12366"/>
    <n v="0"/>
    <n v="200"/>
    <n v="200"/>
    <n v="0"/>
    <n v="0"/>
    <n v="0"/>
    <n v="0"/>
    <n v="0"/>
    <n v="0"/>
    <n v="0"/>
    <n v="0"/>
    <n v="0"/>
    <n v="0"/>
    <n v="0"/>
    <n v="0"/>
    <x v="4"/>
  </r>
  <r>
    <s v="代理事业部辽宁省"/>
    <x v="0"/>
    <s v="招商4区"/>
    <x v="13"/>
    <n v="0"/>
    <n v="0"/>
    <n v="451"/>
    <n v="26573"/>
    <n v="0"/>
    <n v="2360"/>
    <n v="0"/>
    <n v="68"/>
    <n v="0"/>
    <n v="45875.5"/>
    <n v="0"/>
    <n v="0"/>
    <n v="200"/>
    <n v="20"/>
    <n v="0"/>
    <n v="0"/>
    <n v="225"/>
    <n v="0"/>
    <n v="2905"/>
    <n v="2905"/>
    <n v="5"/>
    <n v="0"/>
    <n v="0"/>
    <n v="5"/>
    <n v="0"/>
    <n v="0"/>
    <n v="0"/>
    <n v="0"/>
    <n v="0"/>
    <n v="0"/>
    <n v="0"/>
    <n v="0"/>
    <x v="4"/>
  </r>
  <r>
    <s v="代理事业部吉林省"/>
    <x v="0"/>
    <s v="招商4区"/>
    <x v="14"/>
    <n v="0"/>
    <n v="0"/>
    <n v="6"/>
    <n v="6864"/>
    <n v="0"/>
    <n v="3284"/>
    <n v="0"/>
    <n v="70"/>
    <n v="0"/>
    <n v="17953.5"/>
    <n v="0"/>
    <n v="0"/>
    <n v="0"/>
    <n v="0"/>
    <n v="615"/>
    <n v="0"/>
    <n v="922.5"/>
    <n v="0"/>
    <n v="240"/>
    <n v="240"/>
    <n v="0"/>
    <n v="0"/>
    <n v="0"/>
    <n v="0"/>
    <n v="0"/>
    <n v="0"/>
    <n v="0"/>
    <n v="0"/>
    <n v="0"/>
    <n v="0"/>
    <n v="0"/>
    <n v="0"/>
    <x v="4"/>
  </r>
  <r>
    <s v="代理事业部内蒙古自治区"/>
    <x v="0"/>
    <s v="招商4区"/>
    <x v="15"/>
    <n v="0"/>
    <n v="0"/>
    <n v="0"/>
    <n v="7743"/>
    <n v="0"/>
    <n v="0"/>
    <n v="0"/>
    <n v="0"/>
    <n v="0"/>
    <n v="11614.5"/>
    <n v="0"/>
    <n v="0"/>
    <n v="0"/>
    <n v="0"/>
    <n v="0"/>
    <n v="0"/>
    <n v="0"/>
    <n v="0"/>
    <n v="1515"/>
    <n v="1515"/>
    <n v="580"/>
    <n v="0"/>
    <n v="0"/>
    <n v="580"/>
    <n v="0"/>
    <n v="0"/>
    <n v="0"/>
    <n v="0"/>
    <n v="0"/>
    <n v="0"/>
    <n v="0"/>
    <n v="0"/>
    <x v="4"/>
  </r>
  <r>
    <s v="代理事业部湖北省"/>
    <x v="0"/>
    <s v="招商5区"/>
    <x v="16"/>
    <n v="0"/>
    <n v="0"/>
    <n v="37699"/>
    <n v="5970"/>
    <n v="0"/>
    <n v="0"/>
    <n v="0"/>
    <n v="0"/>
    <n v="0"/>
    <n v="46654"/>
    <n v="0"/>
    <n v="0"/>
    <n v="1802"/>
    <n v="0"/>
    <n v="800"/>
    <n v="0"/>
    <n v="3002"/>
    <n v="0"/>
    <n v="24968"/>
    <n v="24968"/>
    <n v="160"/>
    <n v="0"/>
    <n v="0"/>
    <n v="160"/>
    <n v="0"/>
    <n v="270"/>
    <n v="0"/>
    <n v="0"/>
    <n v="270"/>
    <n v="0"/>
    <n v="0"/>
    <n v="0"/>
    <x v="4"/>
  </r>
  <r>
    <s v="代理事业部云南省"/>
    <x v="0"/>
    <s v="招商5区"/>
    <x v="17"/>
    <n v="0"/>
    <n v="0"/>
    <n v="0"/>
    <n v="16337"/>
    <n v="0"/>
    <n v="0"/>
    <n v="0"/>
    <n v="444"/>
    <n v="0"/>
    <n v="26170.5"/>
    <n v="3788"/>
    <n v="0"/>
    <n v="7805"/>
    <n v="640"/>
    <n v="1775"/>
    <n v="55"/>
    <n v="13299"/>
    <n v="0"/>
    <n v="313"/>
    <n v="313"/>
    <n v="0"/>
    <n v="0"/>
    <n v="0"/>
    <n v="0"/>
    <n v="0"/>
    <n v="5"/>
    <n v="0"/>
    <n v="0"/>
    <n v="5"/>
    <n v="0"/>
    <n v="0"/>
    <n v="0"/>
    <x v="4"/>
  </r>
  <r>
    <s v="代理事业部四川省"/>
    <x v="0"/>
    <s v="招商6区"/>
    <x v="18"/>
    <n v="0"/>
    <n v="0"/>
    <n v="70522"/>
    <n v="2830"/>
    <n v="0"/>
    <n v="0"/>
    <n v="0"/>
    <n v="0"/>
    <n v="0"/>
    <n v="74767"/>
    <n v="0"/>
    <n v="0"/>
    <n v="3134"/>
    <n v="0"/>
    <n v="0"/>
    <n v="0"/>
    <n v="3134"/>
    <n v="0"/>
    <n v="4190"/>
    <n v="4190"/>
    <n v="160"/>
    <n v="0"/>
    <n v="0"/>
    <n v="160"/>
    <n v="0"/>
    <n v="1200"/>
    <n v="0"/>
    <n v="0"/>
    <n v="1200"/>
    <n v="0"/>
    <n v="0"/>
    <n v="0"/>
    <x v="4"/>
  </r>
  <r>
    <s v="代理事业部重庆市"/>
    <x v="0"/>
    <s v="招商6区"/>
    <x v="19"/>
    <n v="0"/>
    <n v="0"/>
    <n v="1889"/>
    <n v="14699"/>
    <n v="0"/>
    <n v="690"/>
    <n v="0"/>
    <n v="0"/>
    <n v="0"/>
    <n v="25490"/>
    <n v="0"/>
    <n v="0"/>
    <n v="1221"/>
    <n v="0"/>
    <n v="0"/>
    <n v="0"/>
    <n v="1221"/>
    <n v="0"/>
    <n v="6409"/>
    <n v="6409"/>
    <n v="0"/>
    <n v="0"/>
    <n v="0"/>
    <n v="0"/>
    <n v="0"/>
    <n v="210"/>
    <n v="0"/>
    <n v="0"/>
    <n v="210"/>
    <n v="0"/>
    <n v="0"/>
    <n v="0"/>
    <x v="4"/>
  </r>
  <r>
    <s v="代理事业部贵州省"/>
    <x v="0"/>
    <s v="招商6区"/>
    <x v="20"/>
    <n v="0"/>
    <n v="0"/>
    <n v="70"/>
    <n v="2495"/>
    <n v="0"/>
    <n v="6248"/>
    <n v="0"/>
    <n v="48"/>
    <n v="0"/>
    <n v="18050.5"/>
    <n v="0"/>
    <n v="0"/>
    <n v="0"/>
    <n v="160"/>
    <n v="0"/>
    <n v="0"/>
    <n v="200"/>
    <n v="0"/>
    <n v="896"/>
    <n v="896"/>
    <n v="0"/>
    <n v="0"/>
    <n v="0"/>
    <n v="0"/>
    <n v="0"/>
    <n v="0"/>
    <n v="0"/>
    <n v="0"/>
    <n v="0"/>
    <n v="0"/>
    <n v="0"/>
    <n v="0"/>
    <x v="4"/>
  </r>
  <r>
    <s v="代理事业部广西壮族自治区"/>
    <x v="0"/>
    <s v="招商7区"/>
    <x v="21"/>
    <n v="0"/>
    <n v="0"/>
    <n v="0"/>
    <n v="20880"/>
    <n v="0"/>
    <n v="0"/>
    <n v="0"/>
    <n v="0"/>
    <n v="0"/>
    <n v="31320"/>
    <n v="0"/>
    <n v="0"/>
    <n v="8068"/>
    <n v="0"/>
    <n v="3190"/>
    <n v="0"/>
    <n v="12853"/>
    <n v="-2"/>
    <n v="2585"/>
    <n v="2584"/>
    <n v="0"/>
    <n v="0"/>
    <n v="0"/>
    <n v="0"/>
    <n v="0"/>
    <n v="2015"/>
    <n v="0"/>
    <n v="0"/>
    <n v="2015"/>
    <n v="0"/>
    <n v="0"/>
    <n v="0"/>
    <x v="4"/>
  </r>
  <r>
    <s v="代理事业部湖南省"/>
    <x v="0"/>
    <s v="招商7区"/>
    <x v="22"/>
    <n v="0"/>
    <n v="0"/>
    <n v="0"/>
    <n v="31216"/>
    <n v="0"/>
    <n v="150"/>
    <n v="0"/>
    <n v="0"/>
    <n v="0"/>
    <n v="47161.5"/>
    <n v="0"/>
    <n v="0"/>
    <n v="3792"/>
    <n v="0"/>
    <n v="0"/>
    <n v="0"/>
    <n v="3792"/>
    <n v="0"/>
    <n v="4859"/>
    <n v="4859"/>
    <n v="0"/>
    <n v="0"/>
    <n v="0"/>
    <n v="0"/>
    <n v="0"/>
    <n v="0"/>
    <n v="0"/>
    <n v="0"/>
    <n v="0"/>
    <n v="0"/>
    <n v="0"/>
    <n v="0"/>
    <x v="4"/>
  </r>
  <r>
    <s v="销售一部河北省"/>
    <x v="1"/>
    <s v="华北大区"/>
    <x v="9"/>
    <n v="0"/>
    <n v="0"/>
    <n v="44"/>
    <n v="31560"/>
    <n v="0"/>
    <n v="0"/>
    <n v="0"/>
    <n v="0"/>
    <n v="0"/>
    <n v="47384"/>
    <n v="0"/>
    <n v="0"/>
    <n v="0"/>
    <n v="0"/>
    <n v="0"/>
    <n v="0"/>
    <n v="0"/>
    <n v="0"/>
    <n v="260"/>
    <n v="260"/>
    <n v="1150"/>
    <n v="0"/>
    <n v="0"/>
    <n v="1150"/>
    <n v="0"/>
    <n v="2"/>
    <n v="0"/>
    <n v="0"/>
    <n v="2"/>
    <n v="0"/>
    <n v="0"/>
    <n v="0"/>
    <x v="4"/>
  </r>
  <r>
    <s v="销售一部黑龙江省"/>
    <x v="1"/>
    <s v="华北大区"/>
    <x v="12"/>
    <n v="0"/>
    <n v="0"/>
    <n v="129"/>
    <n v="8870"/>
    <n v="0"/>
    <n v="3060"/>
    <n v="0"/>
    <n v="0"/>
    <n v="0"/>
    <n v="20319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x v="4"/>
  </r>
  <r>
    <s v="销售一部吉林省"/>
    <x v="1"/>
    <s v="华北大区"/>
    <x v="14"/>
    <n v="0"/>
    <n v="0"/>
    <n v="55"/>
    <n v="0"/>
    <n v="0"/>
    <n v="280"/>
    <n v="0"/>
    <n v="884"/>
    <n v="0"/>
    <n v="4000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4"/>
  </r>
  <r>
    <s v="销售一部辽宁省"/>
    <x v="1"/>
    <s v="华北大区"/>
    <x v="13"/>
    <n v="0"/>
    <n v="0"/>
    <n v="77"/>
    <n v="5710"/>
    <n v="0"/>
    <n v="900"/>
    <n v="0"/>
    <n v="1584"/>
    <n v="0"/>
    <n v="16607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x v="4"/>
  </r>
  <r>
    <s v="销售一部山东省"/>
    <x v="1"/>
    <s v="华北大区"/>
    <x v="1"/>
    <n v="0"/>
    <n v="0"/>
    <n v="15347"/>
    <n v="8400"/>
    <n v="0"/>
    <n v="0"/>
    <n v="0"/>
    <n v="0"/>
    <n v="0"/>
    <n v="27947"/>
    <n v="0"/>
    <n v="0"/>
    <n v="0"/>
    <n v="0"/>
    <n v="0"/>
    <n v="0"/>
    <n v="0"/>
    <n v="0"/>
    <n v="0"/>
    <n v="0"/>
    <n v="1314"/>
    <n v="0"/>
    <n v="0"/>
    <n v="1314"/>
    <n v="0"/>
    <n v="0"/>
    <n v="0"/>
    <n v="0"/>
    <n v="0"/>
    <n v="0"/>
    <n v="0"/>
    <n v="0"/>
    <x v="4"/>
  </r>
  <r>
    <s v="销售一部山西省"/>
    <x v="1"/>
    <s v="华北大区"/>
    <x v="10"/>
    <n v="0"/>
    <n v="0"/>
    <n v="0"/>
    <n v="6875"/>
    <n v="0"/>
    <n v="0"/>
    <n v="0"/>
    <n v="0"/>
    <n v="0"/>
    <n v="103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销售一部天津市"/>
    <x v="1"/>
    <s v="华北大区"/>
    <x v="11"/>
    <n v="0"/>
    <n v="0"/>
    <n v="0"/>
    <n v="2180"/>
    <n v="0"/>
    <n v="20"/>
    <n v="0"/>
    <n v="98"/>
    <n v="0"/>
    <n v="36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销售一部安徽省"/>
    <x v="1"/>
    <s v="华中大区"/>
    <x v="7"/>
    <n v="0"/>
    <n v="0"/>
    <n v="269"/>
    <n v="6380"/>
    <n v="0"/>
    <n v="0"/>
    <n v="0"/>
    <n v="0"/>
    <n v="0"/>
    <n v="9839"/>
    <n v="0"/>
    <n v="0"/>
    <n v="0"/>
    <n v="0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x v="4"/>
  </r>
  <r>
    <s v="销售一部湖北省"/>
    <x v="1"/>
    <s v="华中大区"/>
    <x v="16"/>
    <n v="0"/>
    <n v="0"/>
    <n v="35998"/>
    <n v="0"/>
    <n v="0"/>
    <n v="0"/>
    <n v="0"/>
    <n v="0"/>
    <n v="0"/>
    <n v="35998"/>
    <n v="0"/>
    <n v="0"/>
    <n v="1002"/>
    <n v="0"/>
    <n v="0"/>
    <n v="0"/>
    <n v="1002"/>
    <n v="0"/>
    <n v="0"/>
    <n v="0"/>
    <n v="480"/>
    <n v="0"/>
    <n v="0"/>
    <n v="480"/>
    <n v="0"/>
    <n v="3"/>
    <n v="0"/>
    <n v="0"/>
    <n v="3"/>
    <n v="0"/>
    <n v="0"/>
    <n v="0"/>
    <x v="4"/>
  </r>
  <r>
    <s v="销售一部江西省"/>
    <x v="1"/>
    <s v="华中大区"/>
    <x v="8"/>
    <n v="0"/>
    <n v="0"/>
    <n v="15"/>
    <n v="2150"/>
    <n v="0"/>
    <n v="480"/>
    <n v="0"/>
    <n v="3762"/>
    <n v="0"/>
    <n v="18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销售一部江苏省"/>
    <x v="1"/>
    <s v="华中大区"/>
    <x v="0"/>
    <n v="0"/>
    <n v="0"/>
    <n v="337"/>
    <n v="31139"/>
    <n v="0"/>
    <n v="0"/>
    <n v="0"/>
    <n v="3465"/>
    <n v="0"/>
    <n v="60039.25"/>
    <n v="0"/>
    <n v="0"/>
    <n v="0"/>
    <n v="0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x v="4"/>
  </r>
  <r>
    <s v="销售一部四川省"/>
    <x v="1"/>
    <s v="西南大区"/>
    <x v="18"/>
    <n v="0"/>
    <n v="0"/>
    <n v="9998"/>
    <n v="1920"/>
    <n v="0"/>
    <n v="0"/>
    <n v="0"/>
    <n v="0"/>
    <n v="0"/>
    <n v="12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销售一部云南省"/>
    <x v="1"/>
    <s v="西南大区"/>
    <x v="17"/>
    <n v="0"/>
    <n v="0"/>
    <n v="42"/>
    <n v="5705"/>
    <n v="0"/>
    <n v="0"/>
    <n v="0"/>
    <n v="4098"/>
    <n v="0"/>
    <n v="23967"/>
    <n v="0"/>
    <n v="0"/>
    <n v="0"/>
    <n v="0"/>
    <n v="0"/>
    <n v="0"/>
    <n v="0"/>
    <n v="0"/>
    <n v="150"/>
    <n v="150"/>
    <n v="1147"/>
    <n v="0"/>
    <n v="0"/>
    <n v="1147"/>
    <n v="0"/>
    <n v="1"/>
    <n v="0"/>
    <n v="0"/>
    <n v="1"/>
    <n v="0"/>
    <n v="0"/>
    <n v="0"/>
    <x v="4"/>
  </r>
  <r>
    <s v="销售一部重庆市"/>
    <x v="1"/>
    <s v="西南大区"/>
    <x v="19"/>
    <n v="0"/>
    <n v="0"/>
    <n v="41"/>
    <n v="4060"/>
    <n v="0"/>
    <n v="8112"/>
    <n v="0"/>
    <n v="1008"/>
    <n v="0"/>
    <n v="28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销售二部北京市"/>
    <x v="2"/>
    <s v="销售二部"/>
    <x v="23"/>
    <n v="0"/>
    <n v="0"/>
    <n v="14"/>
    <n v="14550"/>
    <n v="0"/>
    <n v="0"/>
    <n v="0"/>
    <n v="296"/>
    <n v="35858"/>
    <n v="291884"/>
    <n v="0"/>
    <n v="0"/>
    <n v="0"/>
    <n v="2590"/>
    <n v="0"/>
    <n v="8986"/>
    <n v="25702.5"/>
    <n v="0"/>
    <n v="28785"/>
    <n v="28785"/>
    <n v="1060"/>
    <n v="0"/>
    <n v="0"/>
    <n v="1060"/>
    <n v="0"/>
    <n v="1800"/>
    <n v="0"/>
    <n v="0"/>
    <n v="1800"/>
    <n v="0"/>
    <n v="0"/>
    <n v="0"/>
    <x v="4"/>
  </r>
  <r>
    <s v="销售三部福建省"/>
    <x v="3"/>
    <s v="销售三部"/>
    <x v="24"/>
    <n v="0"/>
    <n v="3"/>
    <n v="0"/>
    <n v="44097"/>
    <n v="0"/>
    <n v="0"/>
    <n v="0"/>
    <n v="0"/>
    <n v="0"/>
    <n v="66147.75"/>
    <n v="0"/>
    <n v="0"/>
    <n v="0"/>
    <n v="0"/>
    <n v="0"/>
    <n v="0"/>
    <n v="0"/>
    <n v="0"/>
    <n v="0"/>
    <n v="0"/>
    <n v="445"/>
    <n v="0"/>
    <n v="0"/>
    <n v="445"/>
    <n v="0"/>
    <n v="0"/>
    <n v="0"/>
    <n v="0"/>
    <n v="0"/>
    <n v="0"/>
    <n v="0"/>
    <n v="0"/>
    <x v="4"/>
  </r>
  <r>
    <s v="销售三部浙江省"/>
    <x v="3"/>
    <s v="销售三部"/>
    <x v="25"/>
    <n v="31"/>
    <n v="470"/>
    <n v="303966"/>
    <n v="5631"/>
    <n v="0"/>
    <n v="0"/>
    <n v="0"/>
    <n v="0"/>
    <n v="0"/>
    <n v="312780.5"/>
    <n v="0"/>
    <n v="0"/>
    <n v="-32"/>
    <n v="0"/>
    <n v="116137"/>
    <n v="0"/>
    <n v="174173.5"/>
    <n v="0"/>
    <n v="30181"/>
    <n v="30181"/>
    <n v="35132"/>
    <n v="0"/>
    <n v="0"/>
    <n v="35132"/>
    <n v="0"/>
    <n v="170"/>
    <n v="0"/>
    <n v="0"/>
    <n v="170"/>
    <n v="0"/>
    <n v="0"/>
    <n v="0"/>
    <x v="4"/>
  </r>
  <r>
    <s v="销售四部广东省"/>
    <x v="4"/>
    <s v="销售四部"/>
    <x v="26"/>
    <n v="0"/>
    <n v="0"/>
    <n v="3385"/>
    <n v="257516"/>
    <n v="0"/>
    <n v="0"/>
    <n v="0"/>
    <n v="0"/>
    <n v="0"/>
    <n v="389659"/>
    <n v="0"/>
    <n v="0"/>
    <n v="630"/>
    <n v="0"/>
    <n v="52996"/>
    <n v="3710"/>
    <n v="89399"/>
    <n v="0"/>
    <n v="46765"/>
    <n v="46765"/>
    <n v="2862"/>
    <n v="0"/>
    <n v="0"/>
    <n v="2862"/>
    <n v="0"/>
    <n v="837"/>
    <n v="0"/>
    <n v="0"/>
    <n v="837"/>
    <n v="0"/>
    <n v="0"/>
    <n v="0"/>
    <x v="4"/>
  </r>
  <r>
    <s v="销售四部海南省"/>
    <x v="4"/>
    <s v="销售四部"/>
    <x v="27"/>
    <n v="0"/>
    <n v="0"/>
    <n v="4"/>
    <n v="13702"/>
    <n v="0"/>
    <n v="0"/>
    <n v="0"/>
    <n v="0"/>
    <n v="0"/>
    <n v="20557"/>
    <n v="0"/>
    <n v="0"/>
    <n v="5610"/>
    <n v="0"/>
    <n v="0"/>
    <n v="0"/>
    <n v="5610"/>
    <n v="0"/>
    <n v="1910"/>
    <n v="1910"/>
    <n v="30"/>
    <n v="0"/>
    <n v="0"/>
    <n v="30"/>
    <n v="0"/>
    <n v="0"/>
    <n v="0"/>
    <n v="0"/>
    <n v="0"/>
    <n v="0"/>
    <n v="0"/>
    <n v="0"/>
    <x v="4"/>
  </r>
  <r>
    <s v="销售五部甘肃省"/>
    <x v="5"/>
    <s v="销售五部"/>
    <x v="28"/>
    <n v="0"/>
    <n v="0"/>
    <n v="6928"/>
    <n v="24987"/>
    <n v="0"/>
    <n v="0"/>
    <n v="0"/>
    <n v="0"/>
    <n v="0"/>
    <n v="44408.5"/>
    <n v="0"/>
    <n v="0"/>
    <n v="30"/>
    <n v="0"/>
    <n v="0"/>
    <n v="0"/>
    <n v="30"/>
    <n v="0"/>
    <n v="1319"/>
    <n v="1319"/>
    <n v="136"/>
    <n v="0"/>
    <n v="0"/>
    <n v="136"/>
    <n v="0"/>
    <n v="0"/>
    <n v="0"/>
    <n v="0"/>
    <n v="0"/>
    <n v="0"/>
    <n v="0"/>
    <n v="0"/>
    <x v="4"/>
  </r>
  <r>
    <s v="销售五部河南省"/>
    <x v="5"/>
    <s v="销售五部"/>
    <x v="29"/>
    <n v="0"/>
    <n v="0"/>
    <n v="6548"/>
    <n v="167693"/>
    <n v="0"/>
    <n v="0"/>
    <n v="0"/>
    <n v="0"/>
    <n v="0"/>
    <n v="258087.5"/>
    <n v="0"/>
    <n v="0"/>
    <n v="4597"/>
    <n v="0"/>
    <n v="0"/>
    <n v="0"/>
    <n v="4597"/>
    <n v="21"/>
    <n v="17137"/>
    <n v="17147.5"/>
    <n v="1550"/>
    <n v="0"/>
    <n v="0"/>
    <n v="1550"/>
    <n v="0"/>
    <n v="1495"/>
    <n v="5"/>
    <n v="0"/>
    <n v="1500.85"/>
    <n v="0"/>
    <n v="0"/>
    <n v="0"/>
    <x v="4"/>
  </r>
  <r>
    <s v="销售五部陕西省"/>
    <x v="5"/>
    <s v="销售五部"/>
    <x v="2"/>
    <n v="0"/>
    <n v="0"/>
    <n v="396"/>
    <n v="26940"/>
    <n v="0"/>
    <n v="7140"/>
    <n v="0"/>
    <n v="92"/>
    <n v="0"/>
    <n v="57216"/>
    <n v="0"/>
    <n v="0"/>
    <n v="90"/>
    <n v="0"/>
    <n v="0"/>
    <n v="0"/>
    <n v="90"/>
    <n v="0"/>
    <n v="123"/>
    <n v="123"/>
    <n v="150"/>
    <n v="0"/>
    <n v="0"/>
    <n v="150"/>
    <n v="0"/>
    <n v="0"/>
    <n v="0"/>
    <n v="0"/>
    <n v="0"/>
    <n v="0"/>
    <n v="0"/>
    <n v="0"/>
    <x v="4"/>
  </r>
  <r>
    <s v="OTC浙江省"/>
    <x v="6"/>
    <m/>
    <x v="25"/>
    <n v="0"/>
    <n v="39639"/>
    <n v="0"/>
    <n v="0"/>
    <n v="0"/>
    <n v="0"/>
    <n v="0"/>
    <n v="0"/>
    <n v="0"/>
    <n v="29729.25"/>
    <n v="0"/>
    <n v="50"/>
    <n v="957"/>
    <n v="0"/>
    <n v="6832"/>
    <n v="0"/>
    <n v="11242.5"/>
    <n v="0"/>
    <n v="0"/>
    <n v="0"/>
    <n v="0"/>
    <n v="0"/>
    <n v="20"/>
    <n v="40"/>
    <n v="0"/>
    <n v="0"/>
    <n v="0"/>
    <n v="0"/>
    <n v="0"/>
    <n v="0"/>
    <n v="0"/>
    <n v="0"/>
    <x v="4"/>
  </r>
  <r>
    <s v="OTC安徽省"/>
    <x v="6"/>
    <m/>
    <x v="7"/>
    <n v="0"/>
    <n v="3085"/>
    <n v="0"/>
    <n v="0"/>
    <n v="0"/>
    <n v="0"/>
    <n v="0"/>
    <n v="0"/>
    <n v="0"/>
    <n v="231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江西省"/>
    <x v="6"/>
    <m/>
    <x v="8"/>
    <n v="0"/>
    <n v="8109"/>
    <n v="0"/>
    <n v="0"/>
    <n v="0"/>
    <n v="0"/>
    <n v="0"/>
    <n v="0"/>
    <n v="0"/>
    <n v="6081.75"/>
    <n v="0"/>
    <n v="500"/>
    <n v="0"/>
    <n v="0"/>
    <n v="0"/>
    <n v="0"/>
    <n v="375"/>
    <n v="0"/>
    <n v="0"/>
    <n v="0"/>
    <n v="0"/>
    <n v="0"/>
    <n v="0"/>
    <n v="0"/>
    <n v="0"/>
    <n v="0"/>
    <n v="0"/>
    <n v="0"/>
    <n v="0"/>
    <n v="0"/>
    <n v="0"/>
    <n v="0"/>
    <x v="4"/>
  </r>
  <r>
    <s v="OTC江苏省"/>
    <x v="6"/>
    <m/>
    <x v="0"/>
    <n v="0"/>
    <n v="6817"/>
    <n v="0"/>
    <n v="0"/>
    <n v="0"/>
    <n v="0"/>
    <n v="6864"/>
    <n v="0"/>
    <n v="0"/>
    <n v="2570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山东省"/>
    <x v="6"/>
    <m/>
    <x v="1"/>
    <n v="0"/>
    <n v="15167"/>
    <n v="540"/>
    <n v="0"/>
    <n v="0"/>
    <n v="0"/>
    <n v="0"/>
    <n v="0"/>
    <n v="0"/>
    <n v="11915.25"/>
    <n v="0"/>
    <n v="0"/>
    <n v="0"/>
    <n v="0"/>
    <n v="0"/>
    <n v="0"/>
    <n v="0"/>
    <n v="0"/>
    <n v="0"/>
    <n v="0"/>
    <n v="0"/>
    <n v="0"/>
    <n v="0"/>
    <n v="0"/>
    <n v="0"/>
    <n v="0"/>
    <n v="65"/>
    <n v="0"/>
    <n v="76.05"/>
    <n v="0"/>
    <n v="0"/>
    <n v="0"/>
    <x v="4"/>
  </r>
  <r>
    <s v="OTC福建省"/>
    <x v="6"/>
    <m/>
    <x v="24"/>
    <n v="0"/>
    <n v="2211"/>
    <n v="0"/>
    <n v="0"/>
    <n v="0"/>
    <n v="0"/>
    <n v="4080"/>
    <n v="0"/>
    <n v="0"/>
    <n v="13898.25"/>
    <n v="0"/>
    <n v="2210"/>
    <n v="0"/>
    <n v="0"/>
    <n v="0"/>
    <n v="0"/>
    <n v="1657.5"/>
    <n v="0"/>
    <n v="0"/>
    <n v="0"/>
    <n v="0"/>
    <n v="0"/>
    <n v="0"/>
    <n v="0"/>
    <n v="0"/>
    <n v="0"/>
    <n v="0"/>
    <n v="0"/>
    <n v="0"/>
    <n v="0"/>
    <n v="0"/>
    <n v="0"/>
    <x v="4"/>
  </r>
  <r>
    <s v="OTC广东省"/>
    <x v="6"/>
    <m/>
    <x v="26"/>
    <n v="0"/>
    <n v="40658"/>
    <n v="0"/>
    <n v="0"/>
    <n v="0"/>
    <n v="0"/>
    <n v="1507"/>
    <n v="0"/>
    <n v="0"/>
    <n v="35014.5"/>
    <n v="0"/>
    <n v="977"/>
    <n v="0"/>
    <n v="0"/>
    <n v="0"/>
    <n v="0"/>
    <n v="732.75"/>
    <n v="0"/>
    <n v="0"/>
    <n v="0"/>
    <n v="0"/>
    <n v="0"/>
    <n v="0"/>
    <n v="0"/>
    <n v="0"/>
    <n v="0"/>
    <n v="50"/>
    <n v="0"/>
    <n v="58.5"/>
    <n v="0"/>
    <n v="0"/>
    <n v="0"/>
    <x v="4"/>
  </r>
  <r>
    <s v="OTC海南省"/>
    <x v="6"/>
    <m/>
    <x v="27"/>
    <n v="0"/>
    <n v="1960"/>
    <n v="0"/>
    <n v="0"/>
    <n v="0"/>
    <n v="0"/>
    <n v="40"/>
    <n v="0"/>
    <n v="0"/>
    <n v="1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湖南省"/>
    <x v="6"/>
    <m/>
    <x v="22"/>
    <n v="0"/>
    <n v="3781"/>
    <n v="0"/>
    <n v="0"/>
    <n v="0"/>
    <n v="0"/>
    <n v="-3302"/>
    <n v="0"/>
    <n v="0"/>
    <n v="-7070.25"/>
    <n v="0"/>
    <n v="4495"/>
    <n v="0"/>
    <n v="0"/>
    <n v="0"/>
    <n v="0"/>
    <n v="3371.25"/>
    <n v="0"/>
    <n v="0"/>
    <n v="0"/>
    <n v="0"/>
    <n v="0"/>
    <n v="0"/>
    <n v="0"/>
    <n v="0"/>
    <n v="0"/>
    <n v="0"/>
    <n v="0"/>
    <n v="0"/>
    <n v="0"/>
    <n v="0"/>
    <n v="0"/>
    <x v="4"/>
  </r>
  <r>
    <s v="OTC湖北省"/>
    <x v="6"/>
    <m/>
    <x v="16"/>
    <n v="0"/>
    <n v="6530"/>
    <n v="0"/>
    <n v="0"/>
    <n v="0"/>
    <n v="0"/>
    <n v="0"/>
    <n v="0"/>
    <n v="0"/>
    <n v="4897.5"/>
    <n v="0"/>
    <n v="156"/>
    <n v="0"/>
    <n v="0"/>
    <n v="0"/>
    <n v="0"/>
    <n v="117"/>
    <n v="0"/>
    <n v="0"/>
    <n v="0"/>
    <n v="0"/>
    <n v="0"/>
    <n v="0"/>
    <n v="0"/>
    <n v="0"/>
    <n v="0"/>
    <n v="0"/>
    <n v="0"/>
    <n v="0"/>
    <n v="0"/>
    <n v="0"/>
    <n v="0"/>
    <x v="4"/>
  </r>
  <r>
    <s v="OTC广西壮族自治区"/>
    <x v="6"/>
    <m/>
    <x v="21"/>
    <n v="0"/>
    <n v="-3262"/>
    <n v="0"/>
    <n v="0"/>
    <n v="0"/>
    <n v="0"/>
    <n v="576"/>
    <n v="0"/>
    <n v="0"/>
    <n v="-71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贵州省"/>
    <x v="6"/>
    <m/>
    <x v="20"/>
    <n v="0"/>
    <n v="1990"/>
    <n v="0"/>
    <n v="0"/>
    <n v="0"/>
    <n v="0"/>
    <n v="0"/>
    <n v="0"/>
    <n v="0"/>
    <n v="14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云南省"/>
    <x v="6"/>
    <m/>
    <x v="17"/>
    <n v="0"/>
    <n v="6175"/>
    <n v="0"/>
    <n v="2097"/>
    <n v="0"/>
    <n v="0"/>
    <n v="0"/>
    <n v="120"/>
    <n v="0"/>
    <n v="8226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陕西省"/>
    <x v="6"/>
    <m/>
    <x v="2"/>
    <n v="0"/>
    <n v="8261"/>
    <n v="0"/>
    <n v="0"/>
    <n v="0"/>
    <n v="0"/>
    <n v="342"/>
    <n v="0"/>
    <n v="0"/>
    <n v="7221.75"/>
    <n v="0"/>
    <n v="2318"/>
    <n v="0"/>
    <n v="0"/>
    <n v="0"/>
    <n v="0"/>
    <n v="1738.5"/>
    <n v="0"/>
    <n v="0"/>
    <n v="0"/>
    <n v="0"/>
    <n v="0"/>
    <n v="0"/>
    <n v="0"/>
    <n v="0"/>
    <n v="0"/>
    <n v="210"/>
    <n v="0"/>
    <n v="245.7"/>
    <n v="0"/>
    <n v="0"/>
    <n v="0"/>
    <x v="4"/>
  </r>
  <r>
    <s v="OTC四川省"/>
    <x v="6"/>
    <m/>
    <x v="18"/>
    <n v="0"/>
    <n v="3525"/>
    <n v="0"/>
    <n v="0"/>
    <n v="0"/>
    <n v="0"/>
    <n v="0"/>
    <n v="0"/>
    <n v="0"/>
    <n v="264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重庆市"/>
    <x v="6"/>
    <m/>
    <x v="19"/>
    <n v="0"/>
    <n v="4820"/>
    <n v="0"/>
    <n v="0"/>
    <n v="0"/>
    <n v="0"/>
    <n v="0"/>
    <n v="0"/>
    <n v="0"/>
    <n v="3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甘肃省"/>
    <x v="6"/>
    <m/>
    <x v="28"/>
    <n v="0"/>
    <n v="5390"/>
    <n v="0"/>
    <n v="0"/>
    <n v="0"/>
    <n v="0"/>
    <n v="0"/>
    <n v="0"/>
    <n v="0"/>
    <n v="4042.5"/>
    <n v="0"/>
    <n v="0"/>
    <n v="0"/>
    <n v="0"/>
    <n v="0"/>
    <n v="0"/>
    <n v="0"/>
    <n v="0"/>
    <n v="0"/>
    <n v="0"/>
    <n v="0"/>
    <n v="0"/>
    <n v="0"/>
    <n v="0"/>
    <n v="0"/>
    <n v="0"/>
    <n v="90"/>
    <n v="0"/>
    <n v="105.3"/>
    <n v="0"/>
    <n v="0"/>
    <n v="0"/>
    <x v="4"/>
  </r>
  <r>
    <s v="OTC北京市"/>
    <x v="6"/>
    <m/>
    <x v="23"/>
    <n v="0"/>
    <n v="4480"/>
    <n v="0"/>
    <n v="0"/>
    <n v="0"/>
    <n v="0"/>
    <n v="0"/>
    <n v="0"/>
    <n v="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OTC河北省"/>
    <x v="6"/>
    <m/>
    <x v="9"/>
    <n v="0"/>
    <n v="12021"/>
    <n v="0"/>
    <n v="0"/>
    <n v="0"/>
    <n v="0"/>
    <n v="5760"/>
    <n v="0"/>
    <n v="0"/>
    <n v="26295.75"/>
    <n v="0"/>
    <n v="22"/>
    <n v="0"/>
    <n v="0"/>
    <n v="0"/>
    <n v="0"/>
    <n v="16.5"/>
    <n v="0"/>
    <n v="0"/>
    <n v="0"/>
    <n v="0"/>
    <n v="0"/>
    <n v="0"/>
    <n v="0"/>
    <n v="0"/>
    <n v="0"/>
    <n v="900"/>
    <n v="0"/>
    <n v="1053"/>
    <n v="0"/>
    <n v="0"/>
    <n v="0"/>
    <x v="4"/>
  </r>
  <r>
    <s v="OTC天津市"/>
    <x v="6"/>
    <m/>
    <x v="11"/>
    <n v="0"/>
    <n v="1650"/>
    <n v="217"/>
    <n v="0"/>
    <n v="0"/>
    <n v="0"/>
    <n v="0"/>
    <n v="0"/>
    <n v="0"/>
    <n v="1454.5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1.7"/>
    <n v="0"/>
    <n v="0"/>
    <n v="0"/>
    <x v="4"/>
  </r>
  <r>
    <s v="OTC河南省"/>
    <x v="6"/>
    <m/>
    <x v="29"/>
    <n v="0"/>
    <n v="29660"/>
    <n v="0"/>
    <n v="0"/>
    <n v="0"/>
    <n v="0"/>
    <n v="8160"/>
    <n v="0"/>
    <n v="0"/>
    <n v="46725"/>
    <n v="0"/>
    <n v="20"/>
    <n v="0"/>
    <n v="0"/>
    <n v="0"/>
    <n v="0"/>
    <n v="15"/>
    <n v="0"/>
    <n v="0"/>
    <n v="0"/>
    <n v="0"/>
    <n v="0"/>
    <n v="0"/>
    <n v="0"/>
    <n v="0"/>
    <n v="0"/>
    <n v="135"/>
    <n v="0"/>
    <n v="157.94999999999999"/>
    <n v="0"/>
    <n v="0"/>
    <n v="0"/>
    <x v="4"/>
  </r>
  <r>
    <s v="OTC山西省"/>
    <x v="6"/>
    <m/>
    <x v="10"/>
    <n v="0"/>
    <n v="8874"/>
    <n v="0"/>
    <n v="0"/>
    <n v="0"/>
    <n v="0"/>
    <n v="0"/>
    <n v="0"/>
    <n v="0"/>
    <n v="6655.5"/>
    <n v="0"/>
    <n v="146"/>
    <n v="0"/>
    <n v="0"/>
    <n v="0"/>
    <n v="0"/>
    <n v="109.5"/>
    <n v="0"/>
    <n v="0"/>
    <n v="0"/>
    <n v="0"/>
    <n v="0"/>
    <n v="0"/>
    <n v="0"/>
    <n v="0"/>
    <n v="0"/>
    <n v="0"/>
    <n v="0"/>
    <n v="0"/>
    <n v="0"/>
    <n v="0"/>
    <n v="0"/>
    <x v="4"/>
  </r>
  <r>
    <s v="OTC黑龙江省"/>
    <x v="6"/>
    <m/>
    <x v="12"/>
    <n v="0"/>
    <n v="5087"/>
    <n v="0"/>
    <n v="0"/>
    <n v="0"/>
    <n v="0"/>
    <n v="970"/>
    <n v="0"/>
    <n v="0"/>
    <n v="6725.25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157.94999999999999"/>
    <n v="0"/>
    <n v="0"/>
    <n v="0"/>
    <x v="4"/>
  </r>
  <r>
    <s v="OTC吉林省"/>
    <x v="6"/>
    <m/>
    <x v="14"/>
    <n v="0"/>
    <n v="3867"/>
    <n v="0"/>
    <n v="0"/>
    <n v="0"/>
    <n v="0"/>
    <n v="0"/>
    <n v="0"/>
    <n v="0"/>
    <n v="2900.25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3.4"/>
    <n v="0"/>
    <n v="0"/>
    <n v="0"/>
    <x v="4"/>
  </r>
  <r>
    <s v="OTC辽宁省"/>
    <x v="6"/>
    <m/>
    <x v="13"/>
    <n v="0"/>
    <n v="7928"/>
    <n v="0"/>
    <n v="0"/>
    <n v="0"/>
    <n v="0"/>
    <n v="0"/>
    <n v="0"/>
    <n v="0"/>
    <n v="5946"/>
    <n v="0"/>
    <n v="2313"/>
    <n v="0"/>
    <n v="0"/>
    <n v="0"/>
    <n v="0"/>
    <n v="1734.75"/>
    <n v="0"/>
    <n v="0"/>
    <n v="0"/>
    <n v="0"/>
    <n v="0"/>
    <n v="0"/>
    <n v="0"/>
    <n v="0"/>
    <n v="0"/>
    <n v="330"/>
    <n v="0"/>
    <n v="386.09999999999997"/>
    <n v="0"/>
    <n v="0"/>
    <n v="0"/>
    <x v="4"/>
  </r>
  <r>
    <s v="电商部电商"/>
    <x v="7"/>
    <s v="电商部"/>
    <x v="30"/>
    <n v="17332"/>
    <n v="6738"/>
    <n v="3384"/>
    <n v="6993"/>
    <n v="3024"/>
    <n v="45023"/>
    <n v="0"/>
    <n v="0"/>
    <n v="1630"/>
    <n v="147167.75"/>
    <n v="0"/>
    <n v="3"/>
    <n v="6747"/>
    <n v="0"/>
    <n v="22309"/>
    <n v="0"/>
    <n v="40212.75"/>
    <n v="0"/>
    <n v="21967"/>
    <n v="21967"/>
    <n v="356"/>
    <n v="0"/>
    <n v="0"/>
    <n v="356"/>
    <n v="0"/>
    <n v="0"/>
    <n v="0"/>
    <n v="146"/>
    <n v="194.18"/>
    <n v="0"/>
    <n v="1909"/>
    <n v="3340.75"/>
    <x v="4"/>
  </r>
  <r>
    <s v="上海事业部上海市"/>
    <x v="8"/>
    <s v="上海大包"/>
    <x v="31"/>
    <n v="0"/>
    <n v="158"/>
    <n v="76711"/>
    <n v="77029.569999999992"/>
    <n v="0"/>
    <n v="0"/>
    <n v="63"/>
    <n v="0"/>
    <n v="0"/>
    <n v="192562.85499999998"/>
    <n v="65"/>
    <n v="0"/>
    <n v="56532"/>
    <n v="0"/>
    <n v="3200"/>
    <n v="322"/>
    <n v="62169.5"/>
    <n v="0"/>
    <n v="45001"/>
    <n v="45001"/>
    <n v="0"/>
    <n v="0"/>
    <n v="0"/>
    <n v="0"/>
    <n v="0"/>
    <n v="1482"/>
    <n v="0"/>
    <n v="0"/>
    <n v="1482"/>
    <n v="0"/>
    <n v="0"/>
    <n v="0"/>
    <x v="4"/>
  </r>
  <r>
    <s v="商务部河南省"/>
    <x v="9"/>
    <s v="商务部"/>
    <x v="29"/>
    <n v="0"/>
    <n v="918"/>
    <n v="0"/>
    <n v="0"/>
    <n v="0"/>
    <n v="0"/>
    <n v="0"/>
    <n v="0"/>
    <n v="0"/>
    <n v="68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陕西省"/>
    <x v="9"/>
    <s v="商务部"/>
    <x v="2"/>
    <n v="0"/>
    <n v="24992"/>
    <n v="1680"/>
    <n v="0"/>
    <n v="0"/>
    <n v="0"/>
    <n v="0"/>
    <n v="0"/>
    <n v="0"/>
    <n v="20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湖北省"/>
    <x v="9"/>
    <s v="商务部"/>
    <x v="16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安徽省"/>
    <x v="9"/>
    <s v="商务部"/>
    <x v="7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山东省"/>
    <x v="9"/>
    <s v="商务部"/>
    <x v="1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广东省"/>
    <x v="9"/>
    <s v="商务部"/>
    <x v="26"/>
    <n v="0"/>
    <n v="17820"/>
    <n v="0"/>
    <n v="0"/>
    <n v="0"/>
    <n v="0"/>
    <n v="0"/>
    <n v="0"/>
    <n v="0"/>
    <n v="13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江苏省"/>
    <x v="9"/>
    <s v="商务部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重庆市"/>
    <x v="9"/>
    <s v="商务部"/>
    <x v="19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四川省"/>
    <x v="9"/>
    <s v="商务部"/>
    <x v="18"/>
    <n v="0"/>
    <n v="4500"/>
    <n v="0"/>
    <n v="0"/>
    <n v="0"/>
    <n v="0"/>
    <n v="0"/>
    <n v="0"/>
    <n v="0"/>
    <n v="3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湖南省"/>
    <x v="9"/>
    <s v="商务部"/>
    <x v="22"/>
    <n v="0"/>
    <n v="1440"/>
    <n v="0"/>
    <n v="0"/>
    <n v="0"/>
    <n v="0"/>
    <n v="0"/>
    <n v="0"/>
    <n v="0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浙江省"/>
    <x v="9"/>
    <s v="商务部"/>
    <x v="25"/>
    <n v="0"/>
    <n v="901"/>
    <n v="0"/>
    <n v="0"/>
    <n v="0"/>
    <n v="0"/>
    <n v="0"/>
    <n v="0"/>
    <n v="0"/>
    <n v="67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北京市"/>
    <x v="9"/>
    <s v="商务部"/>
    <x v="23"/>
    <n v="0"/>
    <n v="720"/>
    <n v="0"/>
    <n v="0"/>
    <n v="0"/>
    <n v="0"/>
    <n v="0"/>
    <n v="0"/>
    <n v="0"/>
    <n v="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河北省"/>
    <x v="9"/>
    <s v="商务部"/>
    <x v="9"/>
    <n v="0"/>
    <n v="2160"/>
    <n v="0"/>
    <n v="0"/>
    <n v="0"/>
    <n v="0"/>
    <n v="0"/>
    <n v="0"/>
    <n v="0"/>
    <n v="1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黑龙江省"/>
    <x v="9"/>
    <s v="商务部"/>
    <x v="12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吉林省"/>
    <x v="9"/>
    <s v="商务部"/>
    <x v="14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江西省"/>
    <x v="9"/>
    <s v="商务部"/>
    <x v="8"/>
    <n v="0"/>
    <n v="4501"/>
    <n v="0"/>
    <n v="0"/>
    <n v="0"/>
    <n v="0"/>
    <n v="0"/>
    <n v="0"/>
    <n v="0"/>
    <n v="337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辽宁省"/>
    <x v="9"/>
    <s v="商务部"/>
    <x v="13"/>
    <n v="0"/>
    <n v="1130"/>
    <n v="0"/>
    <n v="0"/>
    <n v="0"/>
    <n v="0"/>
    <n v="0"/>
    <n v="0"/>
    <n v="0"/>
    <n v="84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山西省"/>
    <x v="9"/>
    <s v="商务部"/>
    <x v="10"/>
    <n v="0"/>
    <n v="540"/>
    <n v="0"/>
    <n v="0"/>
    <n v="0"/>
    <n v="0"/>
    <n v="0"/>
    <n v="0"/>
    <n v="0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云南省"/>
    <x v="9"/>
    <s v="商务部"/>
    <x v="17"/>
    <n v="0"/>
    <n v="54650"/>
    <n v="0"/>
    <n v="0"/>
    <n v="0"/>
    <n v="0"/>
    <n v="0"/>
    <n v="0"/>
    <n v="0"/>
    <n v="409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商务部福建省"/>
    <x v="9"/>
    <s v="商务部"/>
    <x v="24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"/>
  </r>
  <r>
    <s v="营销总部浙江省"/>
    <x v="10"/>
    <s v="营销总部"/>
    <x v="25"/>
    <n v="61"/>
    <n v="13730"/>
    <n v="9953"/>
    <n v="576"/>
    <n v="0"/>
    <n v="5"/>
    <n v="0"/>
    <n v="0"/>
    <n v="39"/>
    <n v="21448.75"/>
    <n v="0"/>
    <n v="44"/>
    <n v="229"/>
    <n v="320"/>
    <n v="916"/>
    <n v="0"/>
    <n v="2036"/>
    <n v="50"/>
    <n v="1465"/>
    <n v="1490"/>
    <n v="193"/>
    <n v="0"/>
    <n v="0"/>
    <n v="193"/>
    <n v="0"/>
    <n v="214"/>
    <n v="0"/>
    <n v="0"/>
    <n v="214"/>
    <n v="0"/>
    <n v="0"/>
    <n v="0"/>
    <x v="4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5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6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7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8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9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0"/>
  </r>
  <r>
    <s v="代理事业部江苏省"/>
    <x v="0"/>
    <s v="招商1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山东省"/>
    <x v="0"/>
    <s v="招商2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陕西省"/>
    <x v="0"/>
    <s v="招商2区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宁夏回族自治区"/>
    <x v="0"/>
    <s v="招商2区"/>
    <x v="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青海省"/>
    <x v="0"/>
    <s v="招商2区"/>
    <x v="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西藏自治区"/>
    <x v="0"/>
    <s v="招商6区"/>
    <x v="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新疆维吾尔自治区"/>
    <x v="0"/>
    <s v="招商2区"/>
    <x v="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安徽省"/>
    <x v="0"/>
    <s v="招商3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江西省"/>
    <x v="0"/>
    <s v="招商3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河北省"/>
    <x v="0"/>
    <s v="招商3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山西省"/>
    <x v="0"/>
    <s v="招商3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天津市"/>
    <x v="0"/>
    <s v="招商3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黑龙江省"/>
    <x v="0"/>
    <s v="招商4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辽宁省"/>
    <x v="0"/>
    <s v="招商4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吉林省"/>
    <x v="0"/>
    <s v="招商4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内蒙古自治区"/>
    <x v="0"/>
    <s v="招商4区"/>
    <x v="1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湖北省"/>
    <x v="0"/>
    <s v="招商5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云南省"/>
    <x v="0"/>
    <s v="招商5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四川省"/>
    <x v="0"/>
    <s v="招商6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重庆市"/>
    <x v="0"/>
    <s v="招商6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贵州省"/>
    <x v="0"/>
    <s v="招商6区"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广西壮族自治区"/>
    <x v="0"/>
    <s v="招商7区"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代理事业部湖南省"/>
    <x v="0"/>
    <s v="招商7区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河北省"/>
    <x v="1"/>
    <s v="华北大区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黑龙江省"/>
    <x v="1"/>
    <s v="华北大区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吉林省"/>
    <x v="1"/>
    <s v="华北大区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辽宁省"/>
    <x v="1"/>
    <s v="华北大区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山东省"/>
    <x v="1"/>
    <s v="华北大区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山西省"/>
    <x v="1"/>
    <s v="华北大区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天津市"/>
    <x v="1"/>
    <s v="华北大区"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安徽省"/>
    <x v="1"/>
    <s v="华中大区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湖北省"/>
    <x v="1"/>
    <s v="华中大区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江西省"/>
    <x v="1"/>
    <s v="华中大区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江苏省"/>
    <x v="1"/>
    <s v="华中大区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四川省"/>
    <x v="1"/>
    <s v="西南大区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云南省"/>
    <x v="1"/>
    <s v="西南大区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一部重庆市"/>
    <x v="1"/>
    <s v="西南大区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二部北京市"/>
    <x v="2"/>
    <s v="销售二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三部福建省"/>
    <x v="3"/>
    <s v="销售三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三部浙江省"/>
    <x v="3"/>
    <s v="销售三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四部广东省"/>
    <x v="4"/>
    <s v="销售四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四部海南省"/>
    <x v="4"/>
    <s v="销售四部"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五部甘肃省"/>
    <x v="5"/>
    <s v="销售五部"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五部河南省"/>
    <x v="5"/>
    <s v="销售五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销售五部陕西省"/>
    <x v="5"/>
    <s v="销售五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浙江省"/>
    <x v="6"/>
    <m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安徽省"/>
    <x v="6"/>
    <m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江西省"/>
    <x v="6"/>
    <m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江苏省"/>
    <x v="6"/>
    <m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山东省"/>
    <x v="6"/>
    <m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福建省"/>
    <x v="6"/>
    <m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广东省"/>
    <x v="6"/>
    <m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海南省"/>
    <x v="6"/>
    <m/>
    <x v="2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湖南省"/>
    <x v="6"/>
    <m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湖北省"/>
    <x v="6"/>
    <m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广西壮族自治区"/>
    <x v="6"/>
    <m/>
    <x v="2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贵州省"/>
    <x v="6"/>
    <m/>
    <x v="2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云南省"/>
    <x v="6"/>
    <m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陕西省"/>
    <x v="6"/>
    <m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四川省"/>
    <x v="6"/>
    <m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重庆市"/>
    <x v="6"/>
    <m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甘肃省"/>
    <x v="6"/>
    <m/>
    <x v="2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北京市"/>
    <x v="6"/>
    <m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河北省"/>
    <x v="6"/>
    <m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天津市"/>
    <x v="6"/>
    <m/>
    <x v="1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河南省"/>
    <x v="6"/>
    <m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山西省"/>
    <x v="6"/>
    <m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黑龙江省"/>
    <x v="6"/>
    <m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吉林省"/>
    <x v="6"/>
    <m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OTC辽宁省"/>
    <x v="6"/>
    <m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电商部电商"/>
    <x v="7"/>
    <s v="电商部"/>
    <x v="3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上海事业部上海市"/>
    <x v="8"/>
    <s v="上海大包"/>
    <x v="3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河南省"/>
    <x v="9"/>
    <s v="商务部"/>
    <x v="2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陕西省"/>
    <x v="9"/>
    <s v="商务部"/>
    <x v="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湖北省"/>
    <x v="9"/>
    <s v="商务部"/>
    <x v="1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安徽省"/>
    <x v="9"/>
    <s v="商务部"/>
    <x v="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山东省"/>
    <x v="9"/>
    <s v="商务部"/>
    <x v="1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广东省"/>
    <x v="9"/>
    <s v="商务部"/>
    <x v="26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江苏省"/>
    <x v="9"/>
    <s v="商务部"/>
    <x v="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重庆市"/>
    <x v="9"/>
    <s v="商务部"/>
    <x v="1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四川省"/>
    <x v="9"/>
    <s v="商务部"/>
    <x v="1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湖南省"/>
    <x v="9"/>
    <s v="商务部"/>
    <x v="2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浙江省"/>
    <x v="9"/>
    <s v="商务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北京市"/>
    <x v="9"/>
    <s v="商务部"/>
    <x v="2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河北省"/>
    <x v="9"/>
    <s v="商务部"/>
    <x v="9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黑龙江省"/>
    <x v="9"/>
    <s v="商务部"/>
    <x v="12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吉林省"/>
    <x v="9"/>
    <s v="商务部"/>
    <x v="1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江西省"/>
    <x v="9"/>
    <s v="商务部"/>
    <x v="8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辽宁省"/>
    <x v="9"/>
    <s v="商务部"/>
    <x v="13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山西省"/>
    <x v="9"/>
    <s v="商务部"/>
    <x v="10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云南省"/>
    <x v="9"/>
    <s v="商务部"/>
    <x v="17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商务部福建省"/>
    <x v="9"/>
    <s v="商务部"/>
    <x v="24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  <r>
    <s v="营销总部浙江省"/>
    <x v="10"/>
    <s v="营销总部"/>
    <x v="25"/>
    <m/>
    <m/>
    <m/>
    <m/>
    <m/>
    <m/>
    <m/>
    <m/>
    <m/>
    <n v="0"/>
    <m/>
    <m/>
    <m/>
    <m/>
    <m/>
    <m/>
    <n v="0"/>
    <m/>
    <m/>
    <n v="0"/>
    <m/>
    <m/>
    <m/>
    <n v="0"/>
    <m/>
    <m/>
    <m/>
    <m/>
    <n v="0"/>
    <m/>
    <m/>
    <n v="0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代理事业部江苏省"/>
    <x v="0"/>
    <s v="招商1区"/>
    <x v="0"/>
    <n v="0"/>
    <n v="0"/>
    <n v="7422"/>
    <n v="91352"/>
    <n v="0"/>
    <n v="0"/>
    <n v="0"/>
    <n v="3864"/>
    <n v="0"/>
    <n v="158940"/>
    <n v="0"/>
    <n v="0"/>
    <n v="0"/>
    <n v="279"/>
    <n v="17295"/>
    <n v="35221"/>
    <n v="114343.75"/>
    <n v="0"/>
    <n v="28325"/>
    <n v="28325"/>
    <n v="0"/>
    <n v="0"/>
    <n v="0"/>
    <n v="0"/>
    <n v="0"/>
    <n v="810"/>
    <n v="0"/>
    <n v="0"/>
    <n v="810"/>
    <n v="0"/>
    <n v="0"/>
    <n v="0"/>
    <x v="0"/>
  </r>
  <r>
    <s v="代理事业部山东省"/>
    <x v="0"/>
    <s v="招商2区"/>
    <x v="1"/>
    <n v="0"/>
    <n v="0"/>
    <n v="82297"/>
    <n v="20"/>
    <n v="0"/>
    <n v="0"/>
    <n v="0"/>
    <n v="0"/>
    <n v="0"/>
    <n v="82327"/>
    <n v="0"/>
    <n v="0"/>
    <n v="3380"/>
    <n v="0"/>
    <n v="39915"/>
    <n v="4060"/>
    <n v="73402.5"/>
    <n v="1760"/>
    <n v="4720"/>
    <n v="5600"/>
    <n v="0"/>
    <n v="0"/>
    <n v="0"/>
    <n v="0"/>
    <n v="0"/>
    <n v="965"/>
    <n v="0"/>
    <n v="0"/>
    <n v="965"/>
    <n v="0"/>
    <n v="0"/>
    <n v="0"/>
    <x v="0"/>
  </r>
  <r>
    <s v="代理事业部陕西省"/>
    <x v="0"/>
    <s v="招商2区"/>
    <x v="2"/>
    <n v="0"/>
    <n v="0"/>
    <n v="1149"/>
    <n v="12711"/>
    <n v="0"/>
    <n v="4480"/>
    <n v="0"/>
    <n v="0"/>
    <n v="0"/>
    <n v="30295.5"/>
    <n v="0"/>
    <n v="0"/>
    <n v="0"/>
    <n v="0"/>
    <n v="0"/>
    <n v="0"/>
    <n v="0"/>
    <n v="0"/>
    <n v="4040"/>
    <n v="4040"/>
    <n v="0"/>
    <n v="0"/>
    <n v="0"/>
    <n v="0"/>
    <n v="0"/>
    <n v="0"/>
    <n v="0"/>
    <n v="0"/>
    <n v="0"/>
    <n v="0"/>
    <n v="0"/>
    <n v="0"/>
    <x v="0"/>
  </r>
  <r>
    <s v="代理事业部宁夏回族自治区"/>
    <x v="0"/>
    <s v="招商2区"/>
    <x v="3"/>
    <n v="0"/>
    <n v="0"/>
    <n v="905"/>
    <n v="8744"/>
    <n v="0"/>
    <n v="0"/>
    <n v="0"/>
    <n v="0"/>
    <n v="0"/>
    <n v="14021"/>
    <n v="0"/>
    <n v="0"/>
    <n v="0"/>
    <n v="0"/>
    <n v="0"/>
    <n v="0"/>
    <n v="0"/>
    <n v="0"/>
    <n v="360"/>
    <n v="360"/>
    <n v="0"/>
    <n v="0"/>
    <n v="0"/>
    <n v="0"/>
    <n v="0"/>
    <n v="0"/>
    <n v="0"/>
    <n v="0"/>
    <n v="0"/>
    <n v="0"/>
    <n v="0"/>
    <n v="0"/>
    <x v="0"/>
  </r>
  <r>
    <s v="代理事业部青海省"/>
    <x v="0"/>
    <s v="招商2区"/>
    <x v="4"/>
    <n v="0"/>
    <n v="0"/>
    <n v="0"/>
    <n v="3934"/>
    <n v="0"/>
    <n v="0"/>
    <n v="0"/>
    <n v="0"/>
    <n v="0"/>
    <n v="5901"/>
    <n v="0"/>
    <n v="0"/>
    <n v="467"/>
    <n v="0"/>
    <n v="0"/>
    <n v="780"/>
    <n v="2417"/>
    <n v="0"/>
    <n v="2920"/>
    <n v="2920"/>
    <n v="110"/>
    <n v="0"/>
    <n v="0"/>
    <n v="110"/>
    <n v="0"/>
    <n v="0"/>
    <n v="0"/>
    <n v="0"/>
    <n v="0"/>
    <n v="0"/>
    <n v="0"/>
    <n v="0"/>
    <x v="0"/>
  </r>
  <r>
    <s v="代理事业部西藏自治区"/>
    <x v="0"/>
    <s v="招商6区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代理事业部新疆维吾尔自治区"/>
    <x v="0"/>
    <s v="招商2区"/>
    <x v="6"/>
    <n v="0"/>
    <n v="0"/>
    <n v="4048"/>
    <n v="8316"/>
    <n v="0"/>
    <n v="7153"/>
    <n v="0"/>
    <n v="0"/>
    <n v="0"/>
    <n v="32616.25"/>
    <n v="0"/>
    <n v="0"/>
    <n v="573"/>
    <n v="0"/>
    <n v="0"/>
    <n v="0"/>
    <n v="573"/>
    <n v="0"/>
    <n v="6668"/>
    <n v="6668"/>
    <n v="0"/>
    <n v="0"/>
    <n v="0"/>
    <n v="0"/>
    <n v="0"/>
    <n v="0"/>
    <n v="0"/>
    <n v="0"/>
    <n v="0"/>
    <n v="0"/>
    <n v="0"/>
    <n v="0"/>
    <x v="0"/>
  </r>
  <r>
    <s v="代理事业部安徽省"/>
    <x v="0"/>
    <s v="招商3区"/>
    <x v="7"/>
    <n v="0"/>
    <n v="0"/>
    <n v="7492"/>
    <n v="17560"/>
    <n v="0"/>
    <n v="0"/>
    <n v="0"/>
    <n v="0"/>
    <n v="0"/>
    <n v="33832"/>
    <n v="240"/>
    <n v="0"/>
    <n v="12395"/>
    <n v="1020"/>
    <n v="7840"/>
    <n v="0"/>
    <n v="25550"/>
    <n v="0"/>
    <n v="2946"/>
    <n v="2946"/>
    <n v="0"/>
    <n v="0"/>
    <n v="0"/>
    <n v="0"/>
    <n v="0"/>
    <n v="300"/>
    <n v="0"/>
    <n v="0"/>
    <n v="300"/>
    <n v="0"/>
    <n v="0"/>
    <n v="0"/>
    <x v="0"/>
  </r>
  <r>
    <s v="代理事业部江西省"/>
    <x v="0"/>
    <s v="招商3区"/>
    <x v="8"/>
    <n v="0"/>
    <n v="0"/>
    <n v="-143"/>
    <n v="13837"/>
    <n v="0"/>
    <n v="1028"/>
    <n v="0"/>
    <n v="28"/>
    <n v="0"/>
    <n v="23030.5"/>
    <n v="0"/>
    <n v="0"/>
    <n v="100"/>
    <n v="940"/>
    <n v="0"/>
    <n v="0"/>
    <n v="1275"/>
    <n v="0"/>
    <n v="13715"/>
    <n v="13715"/>
    <n v="0"/>
    <n v="0"/>
    <n v="0"/>
    <n v="0"/>
    <n v="0"/>
    <n v="1100"/>
    <n v="0"/>
    <n v="0"/>
    <n v="1100"/>
    <n v="0"/>
    <n v="0"/>
    <n v="0"/>
    <x v="0"/>
  </r>
  <r>
    <s v="代理事业部河北省"/>
    <x v="0"/>
    <s v="招商3区"/>
    <x v="9"/>
    <n v="0"/>
    <n v="0"/>
    <n v="-5"/>
    <n v="59945"/>
    <n v="0"/>
    <n v="0"/>
    <n v="0"/>
    <n v="0"/>
    <n v="0"/>
    <n v="89912.5"/>
    <n v="0"/>
    <n v="0"/>
    <n v="420"/>
    <n v="0"/>
    <n v="0"/>
    <n v="0"/>
    <n v="420"/>
    <n v="0"/>
    <n v="12721"/>
    <n v="12721"/>
    <n v="130"/>
    <n v="0"/>
    <n v="0"/>
    <n v="130"/>
    <n v="0"/>
    <n v="0"/>
    <n v="0"/>
    <n v="0"/>
    <n v="0"/>
    <n v="0"/>
    <n v="0"/>
    <n v="0"/>
    <x v="0"/>
  </r>
  <r>
    <s v="代理事业部山西省"/>
    <x v="0"/>
    <s v="招商3区"/>
    <x v="10"/>
    <n v="0"/>
    <n v="0"/>
    <n v="0"/>
    <n v="20826"/>
    <n v="0"/>
    <n v="0"/>
    <n v="0"/>
    <n v="0"/>
    <n v="0"/>
    <n v="31239"/>
    <n v="0"/>
    <n v="0"/>
    <n v="13534"/>
    <n v="0"/>
    <n v="1197"/>
    <n v="0"/>
    <n v="15329.5"/>
    <n v="0"/>
    <n v="941"/>
    <n v="941"/>
    <n v="50"/>
    <n v="0"/>
    <n v="0"/>
    <n v="50"/>
    <n v="0"/>
    <n v="25"/>
    <n v="0"/>
    <n v="0"/>
    <n v="25"/>
    <n v="0"/>
    <n v="0"/>
    <n v="0"/>
    <x v="0"/>
  </r>
  <r>
    <s v="代理事业部天津市"/>
    <x v="0"/>
    <s v="招商3区"/>
    <x v="11"/>
    <n v="0"/>
    <n v="0"/>
    <n v="60"/>
    <n v="15584"/>
    <n v="0"/>
    <n v="4823"/>
    <n v="0"/>
    <n v="70"/>
    <n v="0"/>
    <n v="34550.25"/>
    <n v="0"/>
    <n v="0"/>
    <n v="1334"/>
    <n v="0"/>
    <n v="1149"/>
    <n v="100"/>
    <n v="3307.5"/>
    <n v="0"/>
    <n v="4457"/>
    <n v="4457"/>
    <n v="10"/>
    <n v="0"/>
    <n v="0"/>
    <n v="10"/>
    <n v="0"/>
    <n v="0"/>
    <n v="0"/>
    <n v="0"/>
    <n v="0"/>
    <n v="0"/>
    <n v="0"/>
    <n v="0"/>
    <x v="0"/>
  </r>
  <r>
    <s v="代理事业部黑龙江省"/>
    <x v="0"/>
    <s v="招商4区"/>
    <x v="12"/>
    <n v="10"/>
    <n v="0"/>
    <n v="320"/>
    <n v="10652"/>
    <n v="0"/>
    <n v="2110"/>
    <n v="0"/>
    <n v="672"/>
    <n v="0"/>
    <n v="23570.5"/>
    <n v="0"/>
    <n v="0"/>
    <n v="550"/>
    <n v="0"/>
    <n v="640"/>
    <n v="8060"/>
    <n v="21660"/>
    <n v="0"/>
    <n v="1799"/>
    <n v="1799"/>
    <n v="0"/>
    <n v="0"/>
    <n v="0"/>
    <n v="0"/>
    <n v="0"/>
    <n v="0"/>
    <n v="0"/>
    <n v="0"/>
    <n v="0"/>
    <n v="0"/>
    <n v="0"/>
    <n v="0"/>
    <x v="0"/>
  </r>
  <r>
    <s v="代理事业部辽宁省"/>
    <x v="0"/>
    <s v="招商4区"/>
    <x v="13"/>
    <n v="0"/>
    <n v="0"/>
    <n v="368"/>
    <n v="35278"/>
    <n v="0"/>
    <n v="4232"/>
    <n v="0"/>
    <n v="96"/>
    <n v="0"/>
    <n v="63167"/>
    <n v="0"/>
    <n v="0"/>
    <n v="75"/>
    <n v="40"/>
    <n v="0"/>
    <n v="0"/>
    <n v="125"/>
    <n v="0"/>
    <n v="2620"/>
    <n v="2620"/>
    <n v="0"/>
    <n v="0"/>
    <n v="0"/>
    <n v="0"/>
    <n v="0"/>
    <n v="0"/>
    <n v="0"/>
    <n v="0"/>
    <n v="0"/>
    <n v="0"/>
    <n v="0"/>
    <n v="0"/>
    <x v="0"/>
  </r>
  <r>
    <s v="代理事业部吉林省"/>
    <x v="0"/>
    <s v="招商4区"/>
    <x v="14"/>
    <n v="0"/>
    <n v="0"/>
    <n v="145"/>
    <n v="9436"/>
    <n v="0"/>
    <n v="1585"/>
    <n v="0"/>
    <n v="146"/>
    <n v="0"/>
    <n v="18412.75"/>
    <n v="-64"/>
    <n v="0"/>
    <n v="0"/>
    <n v="0"/>
    <n v="880"/>
    <n v="50"/>
    <n v="1413"/>
    <n v="0"/>
    <n v="130"/>
    <n v="130"/>
    <n v="0"/>
    <n v="0"/>
    <n v="0"/>
    <n v="0"/>
    <n v="0"/>
    <n v="0"/>
    <n v="0"/>
    <n v="0"/>
    <n v="0"/>
    <n v="0"/>
    <n v="0"/>
    <n v="0"/>
    <x v="0"/>
  </r>
  <r>
    <s v="代理事业部内蒙古自治区"/>
    <x v="0"/>
    <s v="招商4区"/>
    <x v="15"/>
    <n v="0"/>
    <n v="0"/>
    <n v="953"/>
    <n v="17051"/>
    <n v="0"/>
    <n v="0"/>
    <n v="0"/>
    <n v="0"/>
    <n v="0"/>
    <n v="26529.5"/>
    <n v="0"/>
    <n v="0"/>
    <n v="0"/>
    <n v="0"/>
    <n v="0"/>
    <n v="0"/>
    <n v="0"/>
    <n v="0"/>
    <n v="1345"/>
    <n v="1345"/>
    <n v="430"/>
    <n v="0"/>
    <n v="0"/>
    <n v="430"/>
    <n v="0"/>
    <n v="0"/>
    <n v="0"/>
    <n v="0"/>
    <n v="0"/>
    <n v="0"/>
    <n v="0"/>
    <n v="0"/>
    <x v="0"/>
  </r>
  <r>
    <s v="代理事业部湖北省"/>
    <x v="0"/>
    <s v="招商5区"/>
    <x v="16"/>
    <n v="0"/>
    <n v="0"/>
    <n v="36716"/>
    <n v="3895"/>
    <n v="0"/>
    <n v="0"/>
    <n v="0"/>
    <n v="0"/>
    <n v="0"/>
    <n v="42558.5"/>
    <n v="0"/>
    <n v="0"/>
    <n v="919"/>
    <n v="0"/>
    <n v="0"/>
    <n v="0"/>
    <n v="919"/>
    <n v="0"/>
    <n v="32590"/>
    <n v="32590"/>
    <n v="680"/>
    <n v="0"/>
    <n v="0"/>
    <n v="680"/>
    <n v="0"/>
    <n v="0"/>
    <n v="0"/>
    <n v="0"/>
    <n v="0"/>
    <n v="0"/>
    <n v="0"/>
    <n v="0"/>
    <x v="0"/>
  </r>
  <r>
    <s v="代理事业部云南省"/>
    <x v="0"/>
    <s v="招商5区"/>
    <x v="17"/>
    <n v="0"/>
    <n v="0"/>
    <n v="45"/>
    <n v="14460"/>
    <n v="0"/>
    <n v="0"/>
    <n v="0"/>
    <n v="11"/>
    <n v="0"/>
    <n v="21776.25"/>
    <n v="7905"/>
    <n v="0"/>
    <n v="12055"/>
    <n v="786"/>
    <n v="2582"/>
    <n v="0"/>
    <n v="20863"/>
    <n v="0"/>
    <n v="526"/>
    <n v="526"/>
    <n v="0"/>
    <n v="0"/>
    <n v="0"/>
    <n v="0"/>
    <n v="0"/>
    <n v="0"/>
    <n v="0"/>
    <n v="0"/>
    <n v="0"/>
    <n v="0"/>
    <n v="0"/>
    <n v="0"/>
    <x v="0"/>
  </r>
  <r>
    <s v="代理事业部四川省"/>
    <x v="0"/>
    <s v="招商6区"/>
    <x v="18"/>
    <n v="0"/>
    <n v="0"/>
    <n v="61201"/>
    <n v="4270"/>
    <n v="0"/>
    <n v="0"/>
    <n v="0"/>
    <n v="0"/>
    <n v="0"/>
    <n v="67606"/>
    <n v="0"/>
    <n v="0"/>
    <n v="3999"/>
    <n v="0"/>
    <n v="0"/>
    <n v="0"/>
    <n v="3999"/>
    <n v="260"/>
    <n v="5425"/>
    <n v="5555"/>
    <n v="320"/>
    <n v="0"/>
    <n v="0"/>
    <n v="320"/>
    <n v="0"/>
    <n v="210"/>
    <n v="0"/>
    <n v="0"/>
    <n v="210"/>
    <n v="0"/>
    <n v="0"/>
    <n v="0"/>
    <x v="0"/>
  </r>
  <r>
    <s v="代理事业部重庆市"/>
    <x v="0"/>
    <s v="招商6区"/>
    <x v="19"/>
    <n v="0"/>
    <n v="0"/>
    <n v="3135"/>
    <n v="17036"/>
    <n v="0"/>
    <n v="255"/>
    <n v="0"/>
    <n v="0"/>
    <n v="0"/>
    <n v="29262.75"/>
    <n v="0"/>
    <n v="0"/>
    <n v="2258"/>
    <n v="0"/>
    <n v="0"/>
    <n v="0"/>
    <n v="2258"/>
    <n v="0"/>
    <n v="7540"/>
    <n v="7540"/>
    <n v="0"/>
    <n v="0"/>
    <n v="0"/>
    <n v="0"/>
    <n v="0"/>
    <n v="0"/>
    <n v="0"/>
    <n v="0"/>
    <n v="0"/>
    <n v="0"/>
    <n v="0"/>
    <n v="0"/>
    <x v="0"/>
  </r>
  <r>
    <s v="代理事业部贵州省"/>
    <x v="0"/>
    <s v="招商6区"/>
    <x v="20"/>
    <n v="0"/>
    <n v="0"/>
    <n v="20"/>
    <n v="3785"/>
    <n v="0"/>
    <n v="2975"/>
    <n v="0"/>
    <n v="960"/>
    <n v="0"/>
    <n v="15991.25"/>
    <n v="0"/>
    <n v="0"/>
    <n v="0"/>
    <n v="50"/>
    <n v="0"/>
    <n v="0"/>
    <n v="62.5"/>
    <n v="0"/>
    <n v="270"/>
    <n v="270"/>
    <n v="0"/>
    <n v="0"/>
    <n v="0"/>
    <n v="0"/>
    <n v="0"/>
    <n v="0"/>
    <n v="0"/>
    <n v="0"/>
    <n v="0"/>
    <n v="0"/>
    <n v="0"/>
    <n v="0"/>
    <x v="0"/>
  </r>
  <r>
    <s v="代理事业部广西壮族自治区"/>
    <x v="0"/>
    <s v="招商7区"/>
    <x v="21"/>
    <n v="0"/>
    <n v="0"/>
    <n v="0"/>
    <n v="24083"/>
    <n v="0"/>
    <n v="0"/>
    <n v="0"/>
    <n v="0"/>
    <n v="0"/>
    <n v="36124.5"/>
    <n v="0"/>
    <n v="0"/>
    <n v="14219"/>
    <n v="0"/>
    <n v="4058"/>
    <n v="0"/>
    <n v="20306"/>
    <n v="4823"/>
    <n v="0"/>
    <n v="2411.5"/>
    <n v="0"/>
    <n v="0"/>
    <n v="0"/>
    <n v="0"/>
    <n v="0"/>
    <n v="0"/>
    <n v="0"/>
    <n v="0"/>
    <n v="0"/>
    <n v="0"/>
    <n v="0"/>
    <n v="0"/>
    <x v="0"/>
  </r>
  <r>
    <s v="代理事业部湖南省"/>
    <x v="0"/>
    <s v="招商7区"/>
    <x v="22"/>
    <n v="0"/>
    <n v="0"/>
    <n v="0"/>
    <n v="24758"/>
    <n v="0"/>
    <n v="382"/>
    <n v="0"/>
    <n v="0"/>
    <n v="0"/>
    <n v="37996.5"/>
    <n v="0"/>
    <n v="0"/>
    <n v="2815"/>
    <n v="0"/>
    <n v="0"/>
    <n v="0"/>
    <n v="2815"/>
    <n v="0"/>
    <n v="6560"/>
    <n v="6560"/>
    <n v="25"/>
    <n v="0"/>
    <n v="0"/>
    <n v="25"/>
    <n v="0"/>
    <n v="0"/>
    <n v="0"/>
    <n v="0"/>
    <n v="0"/>
    <n v="0"/>
    <n v="0"/>
    <n v="0"/>
    <x v="0"/>
  </r>
  <r>
    <s v="销售一部河北省"/>
    <x v="1"/>
    <s v="华北大区"/>
    <x v="9"/>
    <n v="0"/>
    <n v="0"/>
    <n v="22"/>
    <n v="39340"/>
    <n v="0"/>
    <n v="0"/>
    <n v="0"/>
    <n v="0"/>
    <n v="0"/>
    <n v="59032"/>
    <n v="0"/>
    <n v="0"/>
    <n v="0"/>
    <n v="0"/>
    <n v="0"/>
    <n v="0"/>
    <n v="0"/>
    <n v="0"/>
    <n v="270"/>
    <n v="270"/>
    <n v="770"/>
    <n v="0"/>
    <n v="0"/>
    <n v="770"/>
    <n v="0"/>
    <n v="0"/>
    <n v="0"/>
    <n v="0"/>
    <n v="0"/>
    <n v="0"/>
    <n v="0"/>
    <n v="0"/>
    <x v="0"/>
  </r>
  <r>
    <s v="销售一部黑龙江省"/>
    <x v="1"/>
    <s v="华北大区"/>
    <x v="12"/>
    <n v="0"/>
    <n v="0"/>
    <n v="250"/>
    <n v="8120"/>
    <n v="0"/>
    <n v="4260"/>
    <n v="0"/>
    <n v="2736"/>
    <n v="0"/>
    <n v="32275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x v="0"/>
  </r>
  <r>
    <s v="销售一部吉林省"/>
    <x v="1"/>
    <s v="华北大区"/>
    <x v="14"/>
    <n v="0"/>
    <n v="0"/>
    <n v="66"/>
    <n v="0"/>
    <n v="0"/>
    <n v="400"/>
    <n v="0"/>
    <n v="4951"/>
    <n v="0"/>
    <n v="1953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辽宁省"/>
    <x v="1"/>
    <s v="华北大区"/>
    <x v="13"/>
    <n v="0"/>
    <n v="0"/>
    <n v="151"/>
    <n v="6610"/>
    <n v="0"/>
    <n v="1800"/>
    <n v="0"/>
    <n v="2162"/>
    <n v="0"/>
    <n v="2222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山东省"/>
    <x v="1"/>
    <s v="华北大区"/>
    <x v="1"/>
    <n v="0"/>
    <n v="0"/>
    <n v="15411"/>
    <n v="11840"/>
    <n v="0"/>
    <n v="0"/>
    <n v="0"/>
    <n v="0"/>
    <n v="0"/>
    <n v="33171"/>
    <n v="0"/>
    <n v="0"/>
    <n v="0"/>
    <n v="0"/>
    <n v="0"/>
    <n v="0"/>
    <n v="0"/>
    <n v="0"/>
    <n v="0"/>
    <n v="0"/>
    <n v="285"/>
    <n v="0"/>
    <n v="0"/>
    <n v="285"/>
    <n v="0"/>
    <n v="0"/>
    <n v="0"/>
    <n v="0"/>
    <n v="0"/>
    <n v="0"/>
    <n v="0"/>
    <n v="0"/>
    <x v="0"/>
  </r>
  <r>
    <s v="销售一部山西省"/>
    <x v="1"/>
    <s v="华北大区"/>
    <x v="10"/>
    <n v="0"/>
    <n v="0"/>
    <n v="0"/>
    <n v="1448"/>
    <n v="0"/>
    <n v="0"/>
    <n v="0"/>
    <n v="0"/>
    <n v="0"/>
    <n v="2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天津市"/>
    <x v="1"/>
    <s v="华北大区"/>
    <x v="11"/>
    <n v="0"/>
    <n v="0"/>
    <n v="5"/>
    <n v="8761"/>
    <n v="0"/>
    <n v="1260"/>
    <n v="0"/>
    <n v="116"/>
    <n v="0"/>
    <n v="1641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安徽省"/>
    <x v="1"/>
    <s v="华中大区"/>
    <x v="7"/>
    <n v="0"/>
    <n v="0"/>
    <n v="2328"/>
    <n v="3820"/>
    <n v="0"/>
    <n v="0"/>
    <n v="0"/>
    <n v="0"/>
    <n v="0"/>
    <n v="8058"/>
    <n v="0"/>
    <n v="0"/>
    <n v="0"/>
    <n v="0"/>
    <n v="0"/>
    <n v="0"/>
    <n v="0"/>
    <n v="0"/>
    <n v="0"/>
    <n v="0"/>
    <n v="305"/>
    <n v="0"/>
    <n v="0"/>
    <n v="305"/>
    <n v="0"/>
    <n v="0"/>
    <n v="0"/>
    <n v="0"/>
    <n v="0"/>
    <n v="0"/>
    <n v="0"/>
    <n v="0"/>
    <x v="0"/>
  </r>
  <r>
    <s v="销售一部湖北省"/>
    <x v="1"/>
    <s v="华中大区"/>
    <x v="16"/>
    <n v="0"/>
    <n v="0"/>
    <n v="18451"/>
    <n v="-50"/>
    <n v="0"/>
    <n v="0"/>
    <n v="0"/>
    <n v="0"/>
    <n v="0"/>
    <n v="18376"/>
    <n v="0"/>
    <n v="0"/>
    <n v="432"/>
    <n v="0"/>
    <n v="0"/>
    <n v="0"/>
    <n v="432"/>
    <n v="0"/>
    <n v="0"/>
    <n v="0"/>
    <n v="290"/>
    <n v="0"/>
    <n v="0"/>
    <n v="290"/>
    <n v="0"/>
    <n v="0"/>
    <n v="0"/>
    <n v="0"/>
    <n v="0"/>
    <n v="0"/>
    <n v="0"/>
    <n v="0"/>
    <x v="0"/>
  </r>
  <r>
    <s v="销售一部江西省"/>
    <x v="1"/>
    <s v="华中大区"/>
    <x v="8"/>
    <n v="0"/>
    <n v="0"/>
    <n v="15"/>
    <n v="1963"/>
    <n v="0"/>
    <n v="840"/>
    <n v="0"/>
    <n v="4686"/>
    <n v="0"/>
    <n v="22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江苏省"/>
    <x v="1"/>
    <s v="华中大区"/>
    <x v="0"/>
    <n v="0"/>
    <n v="0"/>
    <n v="380"/>
    <n v="35904"/>
    <n v="0"/>
    <n v="0"/>
    <n v="0"/>
    <n v="3439"/>
    <n v="0"/>
    <n v="67132.25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0"/>
  </r>
  <r>
    <s v="销售一部四川省"/>
    <x v="1"/>
    <s v="西南大区"/>
    <x v="18"/>
    <n v="0"/>
    <n v="0"/>
    <n v="12190"/>
    <n v="4440"/>
    <n v="0"/>
    <n v="0"/>
    <n v="0"/>
    <n v="0"/>
    <n v="0"/>
    <n v="18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一部云南省"/>
    <x v="1"/>
    <s v="西南大区"/>
    <x v="17"/>
    <n v="0"/>
    <n v="0"/>
    <n v="417"/>
    <n v="3775"/>
    <n v="0"/>
    <n v="0"/>
    <n v="0"/>
    <n v="2597"/>
    <n v="0"/>
    <n v="15818.25"/>
    <n v="0"/>
    <n v="0"/>
    <n v="0"/>
    <n v="0"/>
    <n v="0"/>
    <n v="0"/>
    <n v="0"/>
    <n v="0"/>
    <n v="5"/>
    <n v="5"/>
    <n v="280"/>
    <n v="0"/>
    <n v="0"/>
    <n v="280"/>
    <n v="0"/>
    <n v="0"/>
    <n v="0"/>
    <n v="0"/>
    <n v="0"/>
    <n v="0"/>
    <n v="0"/>
    <n v="0"/>
    <x v="0"/>
  </r>
  <r>
    <s v="销售一部重庆市"/>
    <x v="1"/>
    <s v="西南大区"/>
    <x v="19"/>
    <n v="0"/>
    <n v="0"/>
    <n v="47"/>
    <n v="4140"/>
    <n v="0"/>
    <n v="9420"/>
    <n v="0"/>
    <n v="528"/>
    <n v="0"/>
    <n v="29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销售二部北京市"/>
    <x v="2"/>
    <s v="销售二部"/>
    <x v="23"/>
    <n v="0"/>
    <n v="0"/>
    <n v="13"/>
    <n v="17045"/>
    <n v="0"/>
    <n v="0"/>
    <n v="0"/>
    <n v="141"/>
    <n v="34596"/>
    <n v="285579.25"/>
    <n v="0"/>
    <n v="0"/>
    <n v="0"/>
    <n v="2510"/>
    <n v="0"/>
    <n v="6736"/>
    <n v="19977.5"/>
    <n v="0"/>
    <n v="27410"/>
    <n v="27410"/>
    <n v="625"/>
    <n v="0"/>
    <n v="0"/>
    <n v="625"/>
    <n v="0"/>
    <n v="300"/>
    <n v="0"/>
    <n v="0"/>
    <n v="300"/>
    <n v="0"/>
    <n v="0"/>
    <n v="0"/>
    <x v="0"/>
  </r>
  <r>
    <s v="销售三部福建省"/>
    <x v="3"/>
    <s v="销售三部"/>
    <x v="24"/>
    <n v="0"/>
    <n v="68"/>
    <n v="0"/>
    <n v="45073"/>
    <n v="0"/>
    <n v="0"/>
    <n v="0"/>
    <n v="0"/>
    <n v="0"/>
    <n v="67660.5"/>
    <n v="0"/>
    <n v="0"/>
    <n v="0"/>
    <n v="0"/>
    <n v="0"/>
    <n v="0"/>
    <n v="0"/>
    <n v="0"/>
    <n v="0"/>
    <n v="0"/>
    <n v="60"/>
    <n v="0"/>
    <n v="0"/>
    <n v="60"/>
    <n v="0"/>
    <n v="0"/>
    <n v="0"/>
    <n v="0"/>
    <n v="0"/>
    <n v="0"/>
    <n v="0"/>
    <n v="0"/>
    <x v="0"/>
  </r>
  <r>
    <s v="销售三部浙江省"/>
    <x v="3"/>
    <s v="销售三部"/>
    <x v="25"/>
    <n v="15"/>
    <n v="489"/>
    <n v="332488"/>
    <n v="5280"/>
    <n v="0"/>
    <n v="0"/>
    <n v="0"/>
    <n v="0"/>
    <n v="0"/>
    <n v="340782.25"/>
    <n v="0"/>
    <n v="0"/>
    <n v="1349"/>
    <n v="0"/>
    <n v="137682"/>
    <n v="0"/>
    <n v="207872"/>
    <n v="0"/>
    <n v="26030"/>
    <n v="26030"/>
    <n v="31576"/>
    <n v="0"/>
    <n v="0"/>
    <n v="31576"/>
    <n v="0"/>
    <n v="30"/>
    <n v="0"/>
    <n v="0"/>
    <n v="30"/>
    <n v="0"/>
    <n v="0"/>
    <n v="0"/>
    <x v="0"/>
  </r>
  <r>
    <s v="销售四部广东省"/>
    <x v="4"/>
    <s v="销售四部"/>
    <x v="26"/>
    <n v="0"/>
    <n v="0"/>
    <n v="5827"/>
    <n v="273480"/>
    <n v="0"/>
    <n v="0"/>
    <n v="0"/>
    <n v="0"/>
    <n v="0"/>
    <n v="416047"/>
    <n v="0"/>
    <n v="0"/>
    <n v="3836"/>
    <n v="0"/>
    <n v="57572"/>
    <n v="5140"/>
    <n v="103044"/>
    <n v="0"/>
    <n v="53074"/>
    <n v="53074"/>
    <n v="2015"/>
    <n v="0"/>
    <n v="150"/>
    <n v="2315"/>
    <n v="0"/>
    <n v="140"/>
    <n v="0"/>
    <n v="0"/>
    <n v="140"/>
    <n v="0"/>
    <n v="0"/>
    <n v="0"/>
    <x v="0"/>
  </r>
  <r>
    <s v="销售四部海南省"/>
    <x v="4"/>
    <s v="销售四部"/>
    <x v="27"/>
    <n v="0"/>
    <n v="0"/>
    <n v="0"/>
    <n v="17146"/>
    <n v="0"/>
    <n v="0"/>
    <n v="0"/>
    <n v="0"/>
    <n v="0"/>
    <n v="25719"/>
    <n v="0"/>
    <n v="0"/>
    <n v="10164"/>
    <n v="0"/>
    <n v="0"/>
    <n v="0"/>
    <n v="10164"/>
    <n v="0"/>
    <n v="3347"/>
    <n v="3347"/>
    <n v="30"/>
    <n v="0"/>
    <n v="0"/>
    <n v="30"/>
    <n v="0"/>
    <n v="0"/>
    <n v="0"/>
    <n v="0"/>
    <n v="0"/>
    <n v="0"/>
    <n v="0"/>
    <n v="0"/>
    <x v="0"/>
  </r>
  <r>
    <s v="销售五部甘肃省"/>
    <x v="5"/>
    <s v="销售五部"/>
    <x v="28"/>
    <n v="0"/>
    <n v="0"/>
    <n v="20945"/>
    <n v="33835"/>
    <n v="0"/>
    <n v="0"/>
    <n v="0"/>
    <n v="0"/>
    <n v="0"/>
    <n v="71697.5"/>
    <n v="0"/>
    <n v="0"/>
    <n v="30"/>
    <n v="0"/>
    <n v="0"/>
    <n v="0"/>
    <n v="30"/>
    <n v="0"/>
    <n v="2390"/>
    <n v="2390"/>
    <n v="530"/>
    <n v="0"/>
    <n v="0"/>
    <n v="530"/>
    <n v="0"/>
    <n v="75"/>
    <n v="0"/>
    <n v="0"/>
    <n v="75"/>
    <n v="0"/>
    <n v="0"/>
    <n v="0"/>
    <x v="0"/>
  </r>
  <r>
    <s v="销售五部河南省"/>
    <x v="5"/>
    <s v="销售五部"/>
    <x v="29"/>
    <n v="0"/>
    <n v="0"/>
    <n v="13332"/>
    <n v="221937"/>
    <n v="0"/>
    <n v="0"/>
    <n v="0"/>
    <n v="0"/>
    <n v="0"/>
    <n v="346237.5"/>
    <n v="0"/>
    <n v="0"/>
    <n v="7145"/>
    <n v="0"/>
    <n v="0"/>
    <n v="0"/>
    <n v="7145"/>
    <n v="10801"/>
    <n v="11255"/>
    <n v="16655.5"/>
    <n v="2419"/>
    <n v="0"/>
    <n v="0"/>
    <n v="2419"/>
    <n v="0"/>
    <n v="160"/>
    <n v="0"/>
    <n v="0"/>
    <n v="160"/>
    <n v="0"/>
    <n v="0"/>
    <n v="0"/>
    <x v="0"/>
  </r>
  <r>
    <s v="销售五部陕西省"/>
    <x v="5"/>
    <s v="销售五部"/>
    <x v="2"/>
    <n v="0"/>
    <n v="0"/>
    <n v="221"/>
    <n v="33090"/>
    <n v="0"/>
    <n v="7332"/>
    <n v="0"/>
    <n v="235"/>
    <n v="0"/>
    <n v="67234.25"/>
    <n v="0"/>
    <n v="0"/>
    <n v="30"/>
    <n v="0"/>
    <n v="0"/>
    <n v="0"/>
    <n v="30"/>
    <n v="0"/>
    <n v="10"/>
    <n v="10"/>
    <n v="60"/>
    <n v="0"/>
    <n v="0"/>
    <n v="60"/>
    <n v="0"/>
    <n v="0"/>
    <n v="0"/>
    <n v="0"/>
    <n v="0"/>
    <n v="0"/>
    <n v="0"/>
    <n v="0"/>
    <x v="0"/>
  </r>
  <r>
    <s v="OTC浙江省"/>
    <x v="6"/>
    <m/>
    <x v="25"/>
    <n v="0"/>
    <n v="43130"/>
    <n v="0"/>
    <n v="0"/>
    <n v="0"/>
    <n v="0"/>
    <n v="0"/>
    <n v="0"/>
    <n v="0"/>
    <n v="32347.5"/>
    <n v="0"/>
    <n v="30"/>
    <n v="2245"/>
    <n v="0"/>
    <n v="2930"/>
    <n v="0"/>
    <n v="6662.5"/>
    <n v="0"/>
    <n v="0"/>
    <n v="0"/>
    <n v="0"/>
    <n v="0"/>
    <n v="0"/>
    <n v="0"/>
    <n v="0"/>
    <n v="0"/>
    <n v="0"/>
    <n v="0"/>
    <n v="0"/>
    <n v="0"/>
    <n v="0"/>
    <n v="0"/>
    <x v="0"/>
  </r>
  <r>
    <s v="OTC安徽省"/>
    <x v="6"/>
    <m/>
    <x v="7"/>
    <n v="0"/>
    <n v="1750"/>
    <n v="0"/>
    <n v="0"/>
    <n v="0"/>
    <n v="0"/>
    <n v="0"/>
    <n v="0"/>
    <n v="0"/>
    <n v="13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江西省"/>
    <x v="6"/>
    <m/>
    <x v="8"/>
    <n v="0"/>
    <n v="9022"/>
    <n v="0"/>
    <n v="0"/>
    <n v="0"/>
    <n v="0"/>
    <n v="0"/>
    <n v="0"/>
    <n v="0"/>
    <n v="6766.5"/>
    <n v="0"/>
    <n v="140"/>
    <n v="0"/>
    <n v="0"/>
    <n v="0"/>
    <n v="0"/>
    <n v="105"/>
    <n v="0"/>
    <n v="0"/>
    <n v="0"/>
    <n v="0"/>
    <n v="0"/>
    <n v="0"/>
    <n v="0"/>
    <n v="0"/>
    <n v="0"/>
    <n v="0"/>
    <n v="0"/>
    <n v="0"/>
    <n v="0"/>
    <n v="0"/>
    <n v="0"/>
    <x v="0"/>
  </r>
  <r>
    <s v="OTC江苏省"/>
    <x v="6"/>
    <m/>
    <x v="0"/>
    <n v="0"/>
    <n v="8167"/>
    <n v="0"/>
    <n v="0"/>
    <n v="0"/>
    <n v="0"/>
    <n v="0"/>
    <n v="0"/>
    <n v="0"/>
    <n v="6125.25"/>
    <n v="0"/>
    <n v="30"/>
    <n v="0"/>
    <n v="0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x v="0"/>
  </r>
  <r>
    <s v="OTC山东省"/>
    <x v="6"/>
    <m/>
    <x v="1"/>
    <n v="0"/>
    <n v="12881"/>
    <n v="360"/>
    <n v="0"/>
    <n v="0"/>
    <n v="0"/>
    <n v="0"/>
    <n v="0"/>
    <n v="0"/>
    <n v="1002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福建省"/>
    <x v="6"/>
    <m/>
    <x v="24"/>
    <n v="0"/>
    <n v="5989"/>
    <n v="0"/>
    <n v="0"/>
    <n v="0"/>
    <n v="0"/>
    <n v="0"/>
    <n v="0"/>
    <n v="0"/>
    <n v="449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广东省"/>
    <x v="6"/>
    <m/>
    <x v="26"/>
    <n v="0"/>
    <n v="94064"/>
    <n v="0"/>
    <n v="0"/>
    <n v="0"/>
    <n v="0"/>
    <n v="0"/>
    <n v="0"/>
    <n v="0"/>
    <n v="70548"/>
    <n v="0"/>
    <n v="1089"/>
    <n v="0"/>
    <n v="0"/>
    <n v="0"/>
    <n v="0"/>
    <n v="816.75"/>
    <n v="0"/>
    <n v="0"/>
    <n v="0"/>
    <n v="0"/>
    <n v="0"/>
    <n v="0"/>
    <n v="0"/>
    <n v="0"/>
    <n v="0"/>
    <n v="0"/>
    <n v="0"/>
    <n v="0"/>
    <n v="0"/>
    <n v="0"/>
    <n v="0"/>
    <x v="0"/>
  </r>
  <r>
    <s v="OTC海南省"/>
    <x v="6"/>
    <m/>
    <x v="27"/>
    <n v="0"/>
    <n v="2230"/>
    <n v="0"/>
    <n v="0"/>
    <n v="0"/>
    <n v="0"/>
    <n v="0"/>
    <n v="0"/>
    <n v="0"/>
    <n v="167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湖南省"/>
    <x v="6"/>
    <m/>
    <x v="22"/>
    <n v="0"/>
    <n v="4116"/>
    <n v="0"/>
    <n v="0"/>
    <n v="0"/>
    <n v="0"/>
    <n v="0"/>
    <n v="0"/>
    <n v="0"/>
    <n v="3087"/>
    <n v="0"/>
    <n v="5591"/>
    <n v="0"/>
    <n v="0"/>
    <n v="0"/>
    <n v="0"/>
    <n v="4193.25"/>
    <n v="0"/>
    <n v="0"/>
    <n v="0"/>
    <n v="0"/>
    <n v="0"/>
    <n v="0"/>
    <n v="0"/>
    <n v="0"/>
    <n v="0"/>
    <n v="0"/>
    <n v="0"/>
    <n v="0"/>
    <n v="0"/>
    <n v="0"/>
    <n v="0"/>
    <x v="0"/>
  </r>
  <r>
    <s v="OTC湖北省"/>
    <x v="6"/>
    <m/>
    <x v="16"/>
    <n v="0"/>
    <n v="6538"/>
    <n v="0"/>
    <n v="0"/>
    <n v="0"/>
    <n v="0"/>
    <n v="0"/>
    <n v="0"/>
    <n v="0"/>
    <n v="4903.5"/>
    <n v="0"/>
    <n v="177"/>
    <n v="0"/>
    <n v="0"/>
    <n v="0"/>
    <n v="0"/>
    <n v="132.75"/>
    <n v="0"/>
    <n v="0"/>
    <n v="0"/>
    <n v="0"/>
    <n v="0"/>
    <n v="0"/>
    <n v="0"/>
    <n v="0"/>
    <n v="0"/>
    <n v="0"/>
    <n v="0"/>
    <n v="0"/>
    <n v="0"/>
    <n v="0"/>
    <n v="0"/>
    <x v="0"/>
  </r>
  <r>
    <s v="OTC广西壮族自治区"/>
    <x v="6"/>
    <m/>
    <x v="21"/>
    <n v="0"/>
    <n v="2678"/>
    <n v="0"/>
    <n v="0"/>
    <n v="0"/>
    <n v="0"/>
    <n v="0"/>
    <n v="0"/>
    <n v="0"/>
    <n v="2008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贵州省"/>
    <x v="6"/>
    <m/>
    <x v="20"/>
    <n v="0"/>
    <n v="720"/>
    <n v="0"/>
    <n v="0"/>
    <n v="0"/>
    <n v="0"/>
    <n v="0"/>
    <n v="0"/>
    <n v="0"/>
    <n v="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云南省"/>
    <x v="6"/>
    <m/>
    <x v="17"/>
    <n v="0"/>
    <n v="4240"/>
    <n v="0"/>
    <n v="4548"/>
    <n v="0"/>
    <n v="0"/>
    <n v="0"/>
    <n v="722"/>
    <n v="0"/>
    <n v="1270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陕西省"/>
    <x v="6"/>
    <m/>
    <x v="2"/>
    <n v="0"/>
    <n v="12456"/>
    <n v="0"/>
    <n v="0"/>
    <n v="0"/>
    <n v="0"/>
    <n v="0"/>
    <n v="0"/>
    <n v="0"/>
    <n v="9342"/>
    <n v="0"/>
    <n v="810"/>
    <n v="0"/>
    <n v="0"/>
    <n v="0"/>
    <n v="0"/>
    <n v="607.5"/>
    <n v="0"/>
    <n v="0"/>
    <n v="0"/>
    <n v="0"/>
    <n v="0"/>
    <n v="0"/>
    <n v="0"/>
    <n v="0"/>
    <n v="0"/>
    <n v="0"/>
    <n v="0"/>
    <n v="0"/>
    <n v="0"/>
    <n v="0"/>
    <n v="0"/>
    <x v="0"/>
  </r>
  <r>
    <s v="OTC四川省"/>
    <x v="6"/>
    <m/>
    <x v="18"/>
    <n v="0"/>
    <n v="2609"/>
    <n v="0"/>
    <n v="0"/>
    <n v="0"/>
    <n v="0"/>
    <n v="0"/>
    <n v="0"/>
    <n v="0"/>
    <n v="1956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重庆市"/>
    <x v="6"/>
    <m/>
    <x v="19"/>
    <n v="0"/>
    <n v="1440"/>
    <n v="0"/>
    <n v="0"/>
    <n v="0"/>
    <n v="0"/>
    <n v="0"/>
    <n v="0"/>
    <n v="0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甘肃省"/>
    <x v="6"/>
    <m/>
    <x v="28"/>
    <n v="0"/>
    <n v="6015"/>
    <n v="0"/>
    <n v="0"/>
    <n v="0"/>
    <n v="0"/>
    <n v="0"/>
    <n v="0"/>
    <n v="0"/>
    <n v="4511.25"/>
    <n v="0"/>
    <n v="65"/>
    <n v="0"/>
    <n v="0"/>
    <n v="0"/>
    <n v="0"/>
    <n v="48.75"/>
    <n v="0"/>
    <n v="0"/>
    <n v="0"/>
    <n v="0"/>
    <n v="0"/>
    <n v="0"/>
    <n v="0"/>
    <n v="0"/>
    <n v="0"/>
    <n v="0"/>
    <n v="0"/>
    <n v="0"/>
    <n v="0"/>
    <n v="0"/>
    <n v="0"/>
    <x v="0"/>
  </r>
  <r>
    <s v="OTC北京市"/>
    <x v="6"/>
    <m/>
    <x v="23"/>
    <n v="0"/>
    <n v="5153"/>
    <n v="0"/>
    <n v="0"/>
    <n v="0"/>
    <n v="0"/>
    <n v="0"/>
    <n v="0"/>
    <n v="0"/>
    <n v="386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河北省"/>
    <x v="6"/>
    <m/>
    <x v="9"/>
    <n v="0"/>
    <n v="25238"/>
    <n v="0"/>
    <n v="0"/>
    <n v="0"/>
    <n v="0"/>
    <n v="0"/>
    <n v="0"/>
    <n v="0"/>
    <n v="18928.5"/>
    <n v="0"/>
    <n v="606"/>
    <n v="0"/>
    <n v="0"/>
    <n v="0"/>
    <n v="0"/>
    <n v="454.5"/>
    <n v="0"/>
    <n v="0"/>
    <n v="0"/>
    <n v="0"/>
    <n v="0"/>
    <n v="0"/>
    <n v="0"/>
    <n v="0"/>
    <n v="0"/>
    <n v="0"/>
    <n v="0"/>
    <n v="0"/>
    <n v="0"/>
    <n v="0"/>
    <n v="0"/>
    <x v="0"/>
  </r>
  <r>
    <s v="OTC天津市"/>
    <x v="6"/>
    <m/>
    <x v="11"/>
    <n v="0"/>
    <n v="1352"/>
    <n v="414"/>
    <n v="0"/>
    <n v="0"/>
    <n v="0"/>
    <n v="0"/>
    <n v="0"/>
    <n v="0"/>
    <n v="1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河南省"/>
    <x v="6"/>
    <m/>
    <x v="29"/>
    <n v="0"/>
    <n v="16902"/>
    <n v="0"/>
    <n v="0"/>
    <n v="0"/>
    <n v="0"/>
    <n v="0"/>
    <n v="0"/>
    <n v="0"/>
    <n v="12676.5"/>
    <n v="0"/>
    <n v="2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x v="0"/>
  </r>
  <r>
    <s v="OTC山西省"/>
    <x v="6"/>
    <m/>
    <x v="10"/>
    <n v="0"/>
    <n v="17362"/>
    <n v="0"/>
    <n v="0"/>
    <n v="0"/>
    <n v="0"/>
    <n v="0"/>
    <n v="0"/>
    <n v="0"/>
    <n v="13021.5"/>
    <n v="0"/>
    <n v="224"/>
    <n v="0"/>
    <n v="0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x v="0"/>
  </r>
  <r>
    <s v="OTC黑龙江省"/>
    <x v="6"/>
    <m/>
    <x v="12"/>
    <n v="0"/>
    <n v="8920"/>
    <n v="0"/>
    <n v="0"/>
    <n v="0"/>
    <n v="0"/>
    <n v="0"/>
    <n v="0"/>
    <n v="0"/>
    <n v="6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吉林省"/>
    <x v="6"/>
    <m/>
    <x v="14"/>
    <n v="0"/>
    <n v="5338"/>
    <n v="0"/>
    <n v="0"/>
    <n v="0"/>
    <n v="0"/>
    <n v="0"/>
    <n v="0"/>
    <n v="0"/>
    <n v="4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OTC辽宁省"/>
    <x v="6"/>
    <m/>
    <x v="13"/>
    <n v="0"/>
    <n v="16361"/>
    <n v="0"/>
    <n v="0"/>
    <n v="-100"/>
    <n v="0"/>
    <n v="0"/>
    <n v="0"/>
    <n v="0"/>
    <n v="12070.75"/>
    <n v="0"/>
    <n v="2165"/>
    <n v="0"/>
    <n v="0"/>
    <n v="0"/>
    <n v="0"/>
    <n v="1623.75"/>
    <n v="0"/>
    <n v="0"/>
    <n v="0"/>
    <n v="0"/>
    <n v="0"/>
    <n v="0"/>
    <n v="0"/>
    <n v="0"/>
    <n v="0"/>
    <n v="0"/>
    <n v="0"/>
    <n v="0"/>
    <n v="0"/>
    <n v="0"/>
    <n v="0"/>
    <x v="0"/>
  </r>
  <r>
    <s v="电商部电商"/>
    <x v="7"/>
    <s v="电商部"/>
    <x v="30"/>
    <n v="0"/>
    <n v="4620"/>
    <n v="56211"/>
    <n v="4099"/>
    <n v="0"/>
    <n v="20445"/>
    <n v="0"/>
    <n v="0"/>
    <n v="1775"/>
    <n v="125138.25"/>
    <n v="0"/>
    <n v="200"/>
    <n v="3214"/>
    <n v="0"/>
    <n v="28852"/>
    <n v="0"/>
    <n v="46642"/>
    <n v="0"/>
    <n v="17055"/>
    <n v="17055"/>
    <n v="52"/>
    <n v="0"/>
    <n v="0"/>
    <n v="52"/>
    <n v="0"/>
    <n v="0"/>
    <n v="0"/>
    <n v="0"/>
    <n v="0"/>
    <n v="0"/>
    <n v="942"/>
    <n v="1648.5"/>
    <x v="0"/>
  </r>
  <r>
    <s v="上海事业部上海市"/>
    <x v="8"/>
    <s v="上海大包"/>
    <x v="31"/>
    <n v="0"/>
    <n v="0"/>
    <n v="80305.919999999998"/>
    <n v="73828"/>
    <n v="0"/>
    <n v="0"/>
    <n v="0"/>
    <n v="0"/>
    <n v="0"/>
    <n v="191047.91999999998"/>
    <n v="6839"/>
    <n v="0"/>
    <n v="56423"/>
    <n v="0"/>
    <n v="1860"/>
    <n v="0"/>
    <n v="62632.5"/>
    <n v="0"/>
    <n v="47524"/>
    <n v="47524"/>
    <n v="0"/>
    <n v="0"/>
    <n v="0"/>
    <n v="0"/>
    <n v="0"/>
    <n v="705"/>
    <n v="0"/>
    <n v="0"/>
    <n v="705"/>
    <n v="0"/>
    <n v="0"/>
    <n v="0"/>
    <x v="0"/>
  </r>
  <r>
    <s v="商务部河南省"/>
    <x v="9"/>
    <s v="商务部"/>
    <x v="29"/>
    <n v="0"/>
    <n v="8201"/>
    <n v="0"/>
    <n v="0"/>
    <n v="0"/>
    <n v="0"/>
    <n v="0"/>
    <n v="0"/>
    <n v="0"/>
    <n v="615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陕西省"/>
    <x v="9"/>
    <s v="商务部"/>
    <x v="2"/>
    <n v="0"/>
    <n v="4280"/>
    <n v="0"/>
    <n v="0"/>
    <n v="0"/>
    <n v="0"/>
    <n v="0"/>
    <n v="0"/>
    <n v="0"/>
    <n v="3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湖北省"/>
    <x v="9"/>
    <s v="商务部"/>
    <x v="16"/>
    <n v="0"/>
    <n v="5400"/>
    <n v="0"/>
    <n v="0"/>
    <n v="0"/>
    <n v="0"/>
    <n v="0"/>
    <n v="0"/>
    <n v="0"/>
    <n v="4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安徽省"/>
    <x v="9"/>
    <s v="商务部"/>
    <x v="7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山东省"/>
    <x v="9"/>
    <s v="商务部"/>
    <x v="1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广东省"/>
    <x v="9"/>
    <s v="商务部"/>
    <x v="26"/>
    <n v="0"/>
    <n v="7200"/>
    <n v="0"/>
    <n v="0"/>
    <n v="0"/>
    <n v="0"/>
    <n v="0"/>
    <n v="0"/>
    <n v="0"/>
    <n v="5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江苏省"/>
    <x v="9"/>
    <s v="商务部"/>
    <x v="0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重庆市"/>
    <x v="9"/>
    <s v="商务部"/>
    <x v="19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四川省"/>
    <x v="9"/>
    <s v="商务部"/>
    <x v="18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湖南省"/>
    <x v="9"/>
    <s v="商务部"/>
    <x v="22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浙江省"/>
    <x v="9"/>
    <s v="商务部"/>
    <x v="25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北京市"/>
    <x v="9"/>
    <s v="商务部"/>
    <x v="23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河北省"/>
    <x v="9"/>
    <s v="商务部"/>
    <x v="9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黑龙江省"/>
    <x v="9"/>
    <s v="商务部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吉林省"/>
    <x v="9"/>
    <s v="商务部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江西省"/>
    <x v="9"/>
    <s v="商务部"/>
    <x v="8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辽宁省"/>
    <x v="9"/>
    <s v="商务部"/>
    <x v="13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山西省"/>
    <x v="9"/>
    <s v="商务部"/>
    <x v="10"/>
    <n v="0"/>
    <n v="540"/>
    <n v="0"/>
    <n v="0"/>
    <n v="0"/>
    <n v="0"/>
    <n v="0"/>
    <n v="0"/>
    <n v="0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商务部福建省"/>
    <x v="9"/>
    <s v="商务部"/>
    <x v="24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</r>
  <r>
    <s v="营销总部浙江省"/>
    <x v="10"/>
    <s v="营销总部"/>
    <x v="25"/>
    <n v="110"/>
    <n v="10324"/>
    <n v="15581"/>
    <n v="536"/>
    <n v="0"/>
    <n v="33"/>
    <n v="0"/>
    <n v="29"/>
    <n v="35"/>
    <n v="24628.5"/>
    <n v="50"/>
    <n v="87"/>
    <n v="140"/>
    <n v="639"/>
    <n v="1789"/>
    <n v="62"/>
    <n v="3867.5"/>
    <n v="187"/>
    <n v="3558"/>
    <n v="3651.5"/>
    <n v="124"/>
    <n v="0"/>
    <n v="0"/>
    <n v="124"/>
    <n v="0"/>
    <n v="-77"/>
    <n v="0"/>
    <n v="0"/>
    <n v="-77"/>
    <n v="0"/>
    <n v="0"/>
    <n v="0"/>
    <x v="0"/>
  </r>
  <r>
    <s v="代理事业部江苏省"/>
    <x v="0"/>
    <s v="招商1区"/>
    <x v="0"/>
    <n v="0"/>
    <n v="0"/>
    <n v="3232"/>
    <n v="41688"/>
    <n v="0"/>
    <n v="0"/>
    <n v="0"/>
    <n v="2266"/>
    <n v="0"/>
    <n v="74261.5"/>
    <n v="0"/>
    <n v="0"/>
    <n v="0"/>
    <n v="1248"/>
    <n v="3883"/>
    <n v="17701"/>
    <n v="51637"/>
    <n v="0"/>
    <n v="13871"/>
    <n v="13871"/>
    <n v="0"/>
    <n v="0"/>
    <n v="0"/>
    <n v="0"/>
    <n v="0"/>
    <n v="465"/>
    <n v="0"/>
    <n v="0"/>
    <n v="465"/>
    <n v="0"/>
    <n v="0"/>
    <n v="0"/>
    <x v="1"/>
  </r>
  <r>
    <s v="代理事业部山东省"/>
    <x v="0"/>
    <s v="招商2区"/>
    <x v="1"/>
    <n v="0"/>
    <n v="0"/>
    <n v="50696"/>
    <n v="-2"/>
    <n v="0"/>
    <n v="0"/>
    <n v="0"/>
    <n v="0"/>
    <n v="0"/>
    <n v="50693"/>
    <n v="0"/>
    <n v="0"/>
    <n v="1364"/>
    <n v="0"/>
    <n v="13817"/>
    <n v="1670"/>
    <n v="26264.5"/>
    <n v="865"/>
    <n v="1235"/>
    <n v="1667.5"/>
    <n v="0"/>
    <n v="0"/>
    <n v="0"/>
    <n v="0"/>
    <n v="0"/>
    <n v="265"/>
    <n v="0"/>
    <n v="0"/>
    <n v="265"/>
    <n v="0"/>
    <n v="0"/>
    <n v="0"/>
    <x v="1"/>
  </r>
  <r>
    <s v="代理事业部陕西省"/>
    <x v="0"/>
    <s v="招商2区"/>
    <x v="2"/>
    <n v="0"/>
    <n v="0"/>
    <n v="1447"/>
    <n v="5831"/>
    <n v="0"/>
    <n v="2056"/>
    <n v="0"/>
    <n v="0"/>
    <n v="0"/>
    <n v="14819.5"/>
    <n v="0"/>
    <n v="0"/>
    <n v="-100"/>
    <n v="0"/>
    <n v="0"/>
    <n v="0"/>
    <n v="-100"/>
    <n v="0"/>
    <n v="3340"/>
    <n v="3340"/>
    <n v="0"/>
    <n v="0"/>
    <n v="0"/>
    <n v="0"/>
    <n v="0"/>
    <n v="0"/>
    <n v="0"/>
    <n v="0"/>
    <n v="0"/>
    <n v="0"/>
    <n v="0"/>
    <n v="0"/>
    <x v="1"/>
  </r>
  <r>
    <s v="代理事业部宁夏回族自治区"/>
    <x v="0"/>
    <s v="招商2区"/>
    <x v="3"/>
    <n v="0"/>
    <n v="0"/>
    <n v="-9345"/>
    <n v="7100"/>
    <n v="0"/>
    <n v="0"/>
    <n v="0"/>
    <n v="0"/>
    <n v="0"/>
    <n v="1305"/>
    <n v="0"/>
    <n v="0"/>
    <n v="0"/>
    <n v="0"/>
    <n v="0"/>
    <n v="0"/>
    <n v="0"/>
    <n v="0"/>
    <n v="361"/>
    <n v="361"/>
    <n v="0"/>
    <n v="0"/>
    <n v="0"/>
    <n v="0"/>
    <n v="0"/>
    <n v="0"/>
    <n v="0"/>
    <n v="0"/>
    <n v="0"/>
    <n v="0"/>
    <n v="0"/>
    <n v="0"/>
    <x v="1"/>
  </r>
  <r>
    <s v="代理事业部青海省"/>
    <x v="0"/>
    <s v="招商2区"/>
    <x v="4"/>
    <n v="0"/>
    <n v="0"/>
    <n v="1019"/>
    <n v="4340"/>
    <n v="0"/>
    <n v="0"/>
    <n v="0"/>
    <n v="0"/>
    <n v="0"/>
    <n v="7529"/>
    <n v="0"/>
    <n v="0"/>
    <n v="389"/>
    <n v="0"/>
    <n v="340"/>
    <n v="610"/>
    <n v="2424"/>
    <n v="0"/>
    <n v="2189"/>
    <n v="2189"/>
    <n v="0"/>
    <n v="0"/>
    <n v="0"/>
    <n v="0"/>
    <n v="0"/>
    <n v="0"/>
    <n v="0"/>
    <n v="0"/>
    <n v="0"/>
    <n v="0"/>
    <n v="0"/>
    <n v="0"/>
    <x v="1"/>
  </r>
  <r>
    <s v="代理事业部西藏自治区"/>
    <x v="0"/>
    <s v="招商6区"/>
    <x v="5"/>
    <n v="0"/>
    <n v="0"/>
    <n v="720"/>
    <n v="0"/>
    <n v="0"/>
    <n v="0"/>
    <n v="0"/>
    <n v="0"/>
    <n v="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代理事业部新疆维吾尔自治区"/>
    <x v="0"/>
    <s v="招商2区"/>
    <x v="6"/>
    <n v="0"/>
    <n v="0"/>
    <n v="4777"/>
    <n v="8105"/>
    <n v="0"/>
    <n v="4576"/>
    <n v="0"/>
    <n v="0"/>
    <n v="0"/>
    <n v="27230.5"/>
    <n v="0"/>
    <n v="0"/>
    <n v="397"/>
    <n v="0"/>
    <n v="0"/>
    <n v="0"/>
    <n v="397"/>
    <n v="0"/>
    <n v="4309"/>
    <n v="4309"/>
    <n v="0"/>
    <n v="0"/>
    <n v="0"/>
    <n v="0"/>
    <n v="0"/>
    <n v="0"/>
    <n v="0"/>
    <n v="0"/>
    <n v="0"/>
    <n v="0"/>
    <n v="0"/>
    <n v="0"/>
    <x v="1"/>
  </r>
  <r>
    <s v="代理事业部安徽省"/>
    <x v="0"/>
    <s v="招商3区"/>
    <x v="7"/>
    <n v="0"/>
    <n v="0"/>
    <n v="7160"/>
    <n v="10785"/>
    <n v="0"/>
    <n v="0"/>
    <n v="0"/>
    <n v="0"/>
    <n v="0"/>
    <n v="23337.5"/>
    <n v="788"/>
    <n v="0"/>
    <n v="5060"/>
    <n v="90"/>
    <n v="5030"/>
    <n v="0"/>
    <n v="13111.5"/>
    <n v="0"/>
    <n v="1180"/>
    <n v="1180"/>
    <n v="0"/>
    <n v="0"/>
    <n v="0"/>
    <n v="0"/>
    <n v="0"/>
    <n v="420"/>
    <n v="0"/>
    <n v="0"/>
    <n v="420"/>
    <n v="0"/>
    <n v="0"/>
    <n v="0"/>
    <x v="1"/>
  </r>
  <r>
    <s v="代理事业部江西省"/>
    <x v="0"/>
    <s v="招商3区"/>
    <x v="8"/>
    <n v="0"/>
    <n v="0"/>
    <n v="29"/>
    <n v="6010"/>
    <n v="0"/>
    <n v="1140"/>
    <n v="0"/>
    <n v="1"/>
    <n v="0"/>
    <n v="11612.75"/>
    <n v="0"/>
    <n v="0"/>
    <n v="150"/>
    <n v="210"/>
    <n v="0"/>
    <n v="0"/>
    <n v="412.5"/>
    <n v="0"/>
    <n v="6945"/>
    <n v="6945"/>
    <n v="0"/>
    <n v="0"/>
    <n v="0"/>
    <n v="0"/>
    <n v="0"/>
    <n v="1170"/>
    <n v="0"/>
    <n v="0"/>
    <n v="1170"/>
    <n v="0"/>
    <n v="0"/>
    <n v="0"/>
    <x v="1"/>
  </r>
  <r>
    <s v="代理事业部河北省"/>
    <x v="0"/>
    <s v="招商3区"/>
    <x v="9"/>
    <n v="0"/>
    <n v="0"/>
    <n v="-20"/>
    <n v="47980"/>
    <n v="0"/>
    <n v="0"/>
    <n v="0"/>
    <n v="0"/>
    <n v="0"/>
    <n v="71950"/>
    <n v="0"/>
    <n v="0"/>
    <n v="5"/>
    <n v="0"/>
    <n v="0"/>
    <n v="0"/>
    <n v="5"/>
    <n v="0"/>
    <n v="7718"/>
    <n v="7718"/>
    <n v="300"/>
    <n v="0"/>
    <n v="0"/>
    <n v="300"/>
    <n v="0"/>
    <n v="150"/>
    <n v="0"/>
    <n v="0"/>
    <n v="150"/>
    <n v="0"/>
    <n v="0"/>
    <n v="0"/>
    <x v="1"/>
  </r>
  <r>
    <s v="代理事业部山西省"/>
    <x v="0"/>
    <s v="招商3区"/>
    <x v="10"/>
    <n v="0"/>
    <n v="0"/>
    <n v="0"/>
    <n v="15060"/>
    <n v="0"/>
    <n v="0"/>
    <n v="0"/>
    <n v="0"/>
    <n v="0"/>
    <n v="22590"/>
    <n v="0"/>
    <n v="0"/>
    <n v="4151"/>
    <n v="0"/>
    <n v="891"/>
    <n v="0"/>
    <n v="5487.5"/>
    <n v="0"/>
    <n v="1103"/>
    <n v="1103"/>
    <n v="40"/>
    <n v="0"/>
    <n v="0"/>
    <n v="40"/>
    <n v="0"/>
    <n v="100"/>
    <n v="0"/>
    <n v="0"/>
    <n v="100"/>
    <n v="0"/>
    <n v="0"/>
    <n v="0"/>
    <x v="1"/>
  </r>
  <r>
    <s v="代理事业部天津市"/>
    <x v="0"/>
    <s v="招商3区"/>
    <x v="11"/>
    <n v="0"/>
    <n v="0"/>
    <n v="45"/>
    <n v="8303"/>
    <n v="0"/>
    <n v="3617"/>
    <n v="0"/>
    <n v="60"/>
    <n v="0"/>
    <n v="20862.75"/>
    <n v="0"/>
    <n v="0"/>
    <n v="2923"/>
    <n v="0"/>
    <n v="821"/>
    <n v="70"/>
    <n v="4329.5"/>
    <n v="0"/>
    <n v="1603"/>
    <n v="1603"/>
    <n v="50"/>
    <n v="0"/>
    <n v="0"/>
    <n v="50"/>
    <n v="0"/>
    <n v="50"/>
    <n v="0"/>
    <n v="0"/>
    <n v="50"/>
    <n v="0"/>
    <n v="0"/>
    <n v="0"/>
    <x v="1"/>
  </r>
  <r>
    <s v="代理事业部黑龙江省"/>
    <x v="0"/>
    <s v="招商4区"/>
    <x v="12"/>
    <n v="0"/>
    <n v="0"/>
    <n v="1194"/>
    <n v="3124"/>
    <n v="0"/>
    <n v="1231"/>
    <n v="0"/>
    <n v="480"/>
    <n v="0"/>
    <n v="10449.75"/>
    <n v="0"/>
    <n v="0"/>
    <n v="470"/>
    <n v="0"/>
    <n v="480"/>
    <n v="4470"/>
    <n v="12365"/>
    <n v="0"/>
    <n v="1773"/>
    <n v="1773"/>
    <n v="50"/>
    <n v="0"/>
    <n v="0"/>
    <n v="50"/>
    <n v="0"/>
    <n v="0"/>
    <n v="0"/>
    <n v="0"/>
    <n v="0"/>
    <n v="0"/>
    <n v="0"/>
    <n v="0"/>
    <x v="1"/>
  </r>
  <r>
    <s v="代理事业部辽宁省"/>
    <x v="0"/>
    <s v="招商4区"/>
    <x v="13"/>
    <n v="0"/>
    <n v="0"/>
    <n v="505"/>
    <n v="14882"/>
    <n v="0"/>
    <n v="2557"/>
    <n v="0"/>
    <n v="88"/>
    <n v="0"/>
    <n v="28911.25"/>
    <n v="0"/>
    <n v="0"/>
    <n v="61"/>
    <n v="0"/>
    <n v="0"/>
    <n v="0"/>
    <n v="61"/>
    <n v="0"/>
    <n v="1514"/>
    <n v="1514"/>
    <n v="0"/>
    <n v="0"/>
    <n v="0"/>
    <n v="0"/>
    <n v="0"/>
    <n v="0"/>
    <n v="0"/>
    <n v="0"/>
    <n v="0"/>
    <n v="0"/>
    <n v="0"/>
    <n v="0"/>
    <x v="1"/>
  </r>
  <r>
    <s v="代理事业部吉林省"/>
    <x v="0"/>
    <s v="招商4区"/>
    <x v="14"/>
    <n v="0"/>
    <n v="0"/>
    <n v="15"/>
    <n v="4967"/>
    <n v="0"/>
    <n v="1250"/>
    <n v="0"/>
    <n v="48"/>
    <n v="0"/>
    <n v="10458"/>
    <n v="0"/>
    <n v="0"/>
    <n v="0"/>
    <n v="0"/>
    <n v="215"/>
    <n v="0"/>
    <n v="322.5"/>
    <n v="0"/>
    <n v="50"/>
    <n v="50"/>
    <n v="0"/>
    <n v="0"/>
    <n v="0"/>
    <n v="0"/>
    <n v="0"/>
    <n v="0"/>
    <n v="0"/>
    <n v="0"/>
    <n v="0"/>
    <n v="0"/>
    <n v="0"/>
    <n v="0"/>
    <x v="1"/>
  </r>
  <r>
    <s v="代理事业部内蒙古自治区"/>
    <x v="0"/>
    <s v="招商4区"/>
    <x v="15"/>
    <n v="0"/>
    <n v="0"/>
    <n v="133"/>
    <n v="8372"/>
    <n v="0"/>
    <n v="0"/>
    <n v="0"/>
    <n v="0"/>
    <n v="0"/>
    <n v="12691"/>
    <n v="0"/>
    <n v="0"/>
    <n v="0"/>
    <n v="0"/>
    <n v="0"/>
    <n v="0"/>
    <n v="0"/>
    <n v="0"/>
    <n v="688"/>
    <n v="688"/>
    <n v="220"/>
    <n v="0"/>
    <n v="0"/>
    <n v="220"/>
    <n v="0"/>
    <n v="0"/>
    <n v="0"/>
    <n v="0"/>
    <n v="0"/>
    <n v="0"/>
    <n v="0"/>
    <n v="0"/>
    <x v="1"/>
  </r>
  <r>
    <s v="代理事业部湖北省"/>
    <x v="0"/>
    <s v="招商5区"/>
    <x v="16"/>
    <n v="0"/>
    <n v="0"/>
    <n v="24186"/>
    <n v="2760"/>
    <n v="0"/>
    <n v="0"/>
    <n v="0"/>
    <n v="0"/>
    <n v="0"/>
    <n v="28326"/>
    <n v="0"/>
    <n v="0"/>
    <n v="1655"/>
    <n v="0"/>
    <n v="1120"/>
    <n v="0"/>
    <n v="3335"/>
    <n v="0"/>
    <n v="12769"/>
    <n v="12769"/>
    <n v="240"/>
    <n v="0"/>
    <n v="0"/>
    <n v="240"/>
    <n v="0"/>
    <n v="180"/>
    <n v="0"/>
    <n v="0"/>
    <n v="180"/>
    <n v="0"/>
    <n v="0"/>
    <n v="0"/>
    <x v="1"/>
  </r>
  <r>
    <s v="代理事业部云南省"/>
    <x v="0"/>
    <s v="招商5区"/>
    <x v="17"/>
    <n v="0"/>
    <n v="0"/>
    <n v="71"/>
    <n v="9729"/>
    <n v="0"/>
    <n v="0"/>
    <n v="0"/>
    <n v="11"/>
    <n v="0"/>
    <n v="14705.75"/>
    <n v="4290"/>
    <n v="0"/>
    <n v="8183"/>
    <n v="380"/>
    <n v="1472"/>
    <n v="0"/>
    <n v="13011"/>
    <n v="0"/>
    <n v="300"/>
    <n v="300"/>
    <n v="0"/>
    <n v="0"/>
    <n v="0"/>
    <n v="0"/>
    <n v="0"/>
    <n v="50"/>
    <n v="0"/>
    <n v="0"/>
    <n v="50"/>
    <n v="0"/>
    <n v="0"/>
    <n v="0"/>
    <x v="1"/>
  </r>
  <r>
    <s v="代理事业部四川省"/>
    <x v="0"/>
    <s v="招商6区"/>
    <x v="18"/>
    <n v="0"/>
    <n v="0"/>
    <n v="49971"/>
    <n v="2308"/>
    <n v="0"/>
    <n v="0"/>
    <n v="0"/>
    <n v="0"/>
    <n v="0"/>
    <n v="53433"/>
    <n v="0"/>
    <n v="0"/>
    <n v="1664"/>
    <n v="0"/>
    <n v="0"/>
    <n v="0"/>
    <n v="1664"/>
    <n v="0"/>
    <n v="4471"/>
    <n v="4471"/>
    <n v="275"/>
    <n v="0"/>
    <n v="0"/>
    <n v="275"/>
    <n v="0"/>
    <n v="270"/>
    <n v="0"/>
    <n v="0"/>
    <n v="270"/>
    <n v="0"/>
    <n v="0"/>
    <n v="0"/>
    <x v="1"/>
  </r>
  <r>
    <s v="代理事业部重庆市"/>
    <x v="0"/>
    <s v="招商6区"/>
    <x v="19"/>
    <n v="0"/>
    <n v="0"/>
    <n v="698"/>
    <n v="7046"/>
    <n v="0"/>
    <n v="194"/>
    <n v="0"/>
    <n v="0"/>
    <n v="0"/>
    <n v="11703.5"/>
    <n v="0"/>
    <n v="0"/>
    <n v="140"/>
    <n v="0"/>
    <n v="0"/>
    <n v="0"/>
    <n v="140"/>
    <n v="0"/>
    <n v="4776"/>
    <n v="4776"/>
    <n v="0"/>
    <n v="0"/>
    <n v="0"/>
    <n v="0"/>
    <n v="0"/>
    <n v="0"/>
    <n v="0"/>
    <n v="0"/>
    <n v="0"/>
    <n v="0"/>
    <n v="0"/>
    <n v="0"/>
    <x v="1"/>
  </r>
  <r>
    <s v="代理事业部贵州省"/>
    <x v="0"/>
    <s v="招商6区"/>
    <x v="20"/>
    <n v="0"/>
    <n v="0"/>
    <n v="130"/>
    <n v="3875"/>
    <n v="0"/>
    <n v="3144"/>
    <n v="0"/>
    <n v="600"/>
    <n v="0"/>
    <n v="15266.5"/>
    <n v="0"/>
    <n v="0"/>
    <n v="0"/>
    <n v="100"/>
    <n v="0"/>
    <n v="0"/>
    <n v="125"/>
    <n v="0"/>
    <n v="115"/>
    <n v="115"/>
    <n v="0"/>
    <n v="0"/>
    <n v="0"/>
    <n v="0"/>
    <n v="0"/>
    <n v="0"/>
    <n v="0"/>
    <n v="0"/>
    <n v="0"/>
    <n v="0"/>
    <n v="0"/>
    <n v="0"/>
    <x v="1"/>
  </r>
  <r>
    <s v="代理事业部广西壮族自治区"/>
    <x v="0"/>
    <s v="招商7区"/>
    <x v="21"/>
    <n v="0"/>
    <n v="0"/>
    <n v="-1"/>
    <n v="14227"/>
    <n v="0"/>
    <n v="0"/>
    <n v="0"/>
    <n v="0"/>
    <n v="0"/>
    <n v="21339.5"/>
    <n v="0"/>
    <n v="0"/>
    <n v="5450"/>
    <n v="0"/>
    <n v="2750"/>
    <n v="0"/>
    <n v="9575"/>
    <n v="1808"/>
    <n v="0"/>
    <n v="904"/>
    <n v="0"/>
    <n v="0"/>
    <n v="0"/>
    <n v="0"/>
    <n v="0"/>
    <n v="162"/>
    <n v="0"/>
    <n v="0"/>
    <n v="162"/>
    <n v="0"/>
    <n v="0"/>
    <n v="0"/>
    <x v="1"/>
  </r>
  <r>
    <s v="代理事业部湖南省"/>
    <x v="0"/>
    <s v="招商7区"/>
    <x v="22"/>
    <n v="0"/>
    <n v="0"/>
    <n v="0"/>
    <n v="21235"/>
    <n v="0"/>
    <n v="0"/>
    <n v="0"/>
    <n v="0"/>
    <n v="0"/>
    <n v="31852.5"/>
    <n v="0"/>
    <n v="0"/>
    <n v="1580"/>
    <n v="0"/>
    <n v="0"/>
    <n v="0"/>
    <n v="1580"/>
    <n v="0"/>
    <n v="4940"/>
    <n v="4940"/>
    <n v="81"/>
    <n v="0"/>
    <n v="0"/>
    <n v="81"/>
    <n v="0"/>
    <n v="0"/>
    <n v="0"/>
    <n v="0"/>
    <n v="0"/>
    <n v="0"/>
    <n v="0"/>
    <n v="0"/>
    <x v="1"/>
  </r>
  <r>
    <s v="销售一部河北省"/>
    <x v="1"/>
    <s v="华北大区"/>
    <x v="9"/>
    <n v="0"/>
    <n v="0"/>
    <n v="13"/>
    <n v="23715"/>
    <n v="0"/>
    <n v="0"/>
    <n v="0"/>
    <n v="0"/>
    <n v="0"/>
    <n v="35585.5"/>
    <n v="0"/>
    <n v="0"/>
    <n v="10"/>
    <n v="0"/>
    <n v="0"/>
    <n v="0"/>
    <n v="10"/>
    <n v="0"/>
    <n v="100"/>
    <n v="100"/>
    <n v="550"/>
    <n v="0"/>
    <n v="0"/>
    <n v="550"/>
    <n v="0"/>
    <n v="0"/>
    <n v="0"/>
    <n v="0"/>
    <n v="0"/>
    <n v="0"/>
    <n v="0"/>
    <n v="0"/>
    <x v="1"/>
  </r>
  <r>
    <s v="销售一部黑龙江省"/>
    <x v="1"/>
    <s v="华北大区"/>
    <x v="12"/>
    <n v="0"/>
    <n v="0"/>
    <n v="211"/>
    <n v="2740"/>
    <n v="0"/>
    <n v="3300"/>
    <n v="0"/>
    <n v="0"/>
    <n v="0"/>
    <n v="11746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1"/>
  </r>
  <r>
    <s v="销售一部吉林省"/>
    <x v="1"/>
    <s v="华北大区"/>
    <x v="14"/>
    <n v="0"/>
    <n v="0"/>
    <n v="42"/>
    <n v="0"/>
    <n v="0"/>
    <n v="420"/>
    <n v="0"/>
    <n v="1632"/>
    <n v="0"/>
    <n v="7107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1"/>
  </r>
  <r>
    <s v="销售一部辽宁省"/>
    <x v="1"/>
    <s v="华北大区"/>
    <x v="13"/>
    <n v="0"/>
    <n v="0"/>
    <n v="204"/>
    <n v="3770"/>
    <n v="0"/>
    <n v="1270"/>
    <n v="0"/>
    <n v="1872"/>
    <n v="0"/>
    <n v="15736.5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x v="1"/>
  </r>
  <r>
    <s v="销售一部山东省"/>
    <x v="1"/>
    <s v="华北大区"/>
    <x v="1"/>
    <n v="0"/>
    <n v="0"/>
    <n v="7851"/>
    <n v="6166"/>
    <n v="0"/>
    <n v="0"/>
    <n v="0"/>
    <n v="0"/>
    <n v="0"/>
    <n v="17100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1"/>
  </r>
  <r>
    <s v="销售一部山西省"/>
    <x v="1"/>
    <s v="华北大区"/>
    <x v="10"/>
    <n v="0"/>
    <n v="0"/>
    <n v="5"/>
    <n v="4504"/>
    <n v="0"/>
    <n v="0"/>
    <n v="0"/>
    <n v="0"/>
    <n v="0"/>
    <n v="6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天津市"/>
    <x v="1"/>
    <s v="华北大区"/>
    <x v="11"/>
    <n v="0"/>
    <n v="0"/>
    <n v="50"/>
    <n v="9527"/>
    <n v="0"/>
    <n v="1698"/>
    <n v="0"/>
    <n v="22"/>
    <n v="0"/>
    <n v="1824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安徽省"/>
    <x v="1"/>
    <s v="华中大区"/>
    <x v="7"/>
    <n v="0"/>
    <n v="0"/>
    <n v="490"/>
    <n v="8610"/>
    <n v="0"/>
    <n v="0"/>
    <n v="0"/>
    <n v="0"/>
    <n v="0"/>
    <n v="13405"/>
    <n v="0"/>
    <n v="0"/>
    <n v="0"/>
    <n v="0"/>
    <n v="0"/>
    <n v="0"/>
    <n v="0"/>
    <n v="0"/>
    <n v="0"/>
    <n v="0"/>
    <n v="340"/>
    <n v="0"/>
    <n v="0"/>
    <n v="340"/>
    <n v="0"/>
    <n v="0"/>
    <n v="0"/>
    <n v="0"/>
    <n v="0"/>
    <n v="0"/>
    <n v="0"/>
    <n v="0"/>
    <x v="1"/>
  </r>
  <r>
    <s v="销售一部湖北省"/>
    <x v="1"/>
    <s v="华中大区"/>
    <x v="16"/>
    <n v="0"/>
    <n v="0"/>
    <n v="21598"/>
    <n v="0"/>
    <n v="0"/>
    <n v="0"/>
    <n v="0"/>
    <n v="0"/>
    <n v="0"/>
    <n v="21598"/>
    <n v="0"/>
    <n v="0"/>
    <n v="24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江西省"/>
    <x v="1"/>
    <s v="华中大区"/>
    <x v="8"/>
    <n v="0"/>
    <n v="0"/>
    <n v="10"/>
    <n v="820"/>
    <n v="0"/>
    <n v="840"/>
    <n v="0"/>
    <n v="3273"/>
    <n v="0"/>
    <n v="1540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一部江苏省"/>
    <x v="1"/>
    <s v="华中大区"/>
    <x v="0"/>
    <n v="0"/>
    <n v="0"/>
    <n v="319"/>
    <n v="29370"/>
    <n v="0"/>
    <n v="0"/>
    <n v="0"/>
    <n v="2742"/>
    <n v="0"/>
    <n v="54656.5"/>
    <n v="0"/>
    <n v="0"/>
    <n v="0"/>
    <n v="0"/>
    <n v="0"/>
    <n v="0"/>
    <n v="0"/>
    <n v="0"/>
    <n v="0"/>
    <n v="0"/>
    <n v="90"/>
    <n v="0"/>
    <n v="0"/>
    <n v="90"/>
    <n v="0"/>
    <n v="0"/>
    <n v="0"/>
    <n v="0"/>
    <n v="0"/>
    <n v="0"/>
    <n v="0"/>
    <n v="0"/>
    <x v="1"/>
  </r>
  <r>
    <s v="销售一部四川省"/>
    <x v="1"/>
    <s v="西南大区"/>
    <x v="18"/>
    <n v="0"/>
    <n v="0"/>
    <n v="7900"/>
    <n v="1680"/>
    <n v="0"/>
    <n v="0"/>
    <n v="0"/>
    <n v="0"/>
    <n v="0"/>
    <n v="10420"/>
    <n v="0"/>
    <n v="0"/>
    <n v="0"/>
    <n v="0"/>
    <n v="0"/>
    <n v="0"/>
    <n v="0"/>
    <n v="0"/>
    <n v="0"/>
    <n v="0"/>
    <n v="50"/>
    <n v="0"/>
    <n v="0"/>
    <n v="50"/>
    <n v="0"/>
    <n v="0"/>
    <n v="0"/>
    <n v="0"/>
    <n v="0"/>
    <n v="0"/>
    <n v="0"/>
    <n v="0"/>
    <x v="1"/>
  </r>
  <r>
    <s v="销售一部云南省"/>
    <x v="1"/>
    <s v="西南大区"/>
    <x v="17"/>
    <n v="0"/>
    <n v="0"/>
    <n v="33"/>
    <n v="3783"/>
    <n v="0"/>
    <n v="0"/>
    <n v="0"/>
    <n v="3620"/>
    <n v="0"/>
    <n v="19282.5"/>
    <n v="0"/>
    <n v="0"/>
    <n v="0"/>
    <n v="0"/>
    <n v="0"/>
    <n v="0"/>
    <n v="0"/>
    <n v="0"/>
    <n v="80"/>
    <n v="80"/>
    <n v="280"/>
    <n v="0"/>
    <n v="0"/>
    <n v="280"/>
    <n v="0"/>
    <n v="0"/>
    <n v="0"/>
    <n v="0"/>
    <n v="0"/>
    <n v="0"/>
    <n v="0"/>
    <n v="0"/>
    <x v="1"/>
  </r>
  <r>
    <s v="销售一部重庆市"/>
    <x v="1"/>
    <s v="西南大区"/>
    <x v="19"/>
    <n v="0"/>
    <n v="0"/>
    <n v="58"/>
    <n v="4910"/>
    <n v="0"/>
    <n v="7740"/>
    <n v="0"/>
    <n v="192"/>
    <n v="0"/>
    <n v="25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销售二部北京市"/>
    <x v="2"/>
    <s v="销售二部"/>
    <x v="23"/>
    <n v="0"/>
    <n v="0"/>
    <n v="29"/>
    <n v="15810"/>
    <n v="0"/>
    <n v="0"/>
    <n v="0"/>
    <n v="150"/>
    <n v="31994"/>
    <n v="264261.5"/>
    <n v="0"/>
    <n v="0"/>
    <n v="0"/>
    <n v="1230"/>
    <n v="0"/>
    <n v="6867"/>
    <n v="18705"/>
    <n v="0"/>
    <n v="26270"/>
    <n v="26270"/>
    <n v="293"/>
    <n v="0"/>
    <n v="0"/>
    <n v="293"/>
    <n v="0"/>
    <n v="572"/>
    <n v="0"/>
    <n v="0"/>
    <n v="572"/>
    <n v="0"/>
    <n v="0"/>
    <n v="0"/>
    <x v="1"/>
  </r>
  <r>
    <s v="销售三部福建省"/>
    <x v="3"/>
    <s v="销售三部"/>
    <x v="24"/>
    <n v="0"/>
    <n v="0"/>
    <n v="0"/>
    <n v="29973"/>
    <n v="0"/>
    <n v="0"/>
    <n v="0"/>
    <n v="0"/>
    <n v="0"/>
    <n v="44959.5"/>
    <n v="0"/>
    <n v="0"/>
    <n v="0"/>
    <n v="0"/>
    <n v="0"/>
    <n v="0"/>
    <n v="0"/>
    <n v="0"/>
    <n v="0"/>
    <n v="0"/>
    <n v="170"/>
    <n v="0"/>
    <n v="0"/>
    <n v="170"/>
    <n v="0"/>
    <n v="0"/>
    <n v="0"/>
    <n v="0"/>
    <n v="0"/>
    <n v="0"/>
    <n v="0"/>
    <n v="0"/>
    <x v="1"/>
  </r>
  <r>
    <s v="销售三部浙江省"/>
    <x v="3"/>
    <s v="销售三部"/>
    <x v="25"/>
    <n v="30"/>
    <n v="85"/>
    <n v="234112"/>
    <n v="5080"/>
    <n v="0"/>
    <n v="0"/>
    <n v="0"/>
    <n v="0"/>
    <n v="0"/>
    <n v="241810.75"/>
    <n v="0"/>
    <n v="0"/>
    <n v="679"/>
    <n v="0"/>
    <n v="83048"/>
    <n v="0"/>
    <n v="125251"/>
    <n v="0"/>
    <n v="21199"/>
    <n v="21199"/>
    <n v="21927"/>
    <n v="0"/>
    <n v="0"/>
    <n v="21927"/>
    <n v="0"/>
    <n v="200"/>
    <n v="0"/>
    <n v="0"/>
    <n v="200"/>
    <n v="0"/>
    <n v="0"/>
    <n v="0"/>
    <x v="1"/>
  </r>
  <r>
    <s v="销售四部广东省"/>
    <x v="4"/>
    <s v="销售四部"/>
    <x v="26"/>
    <n v="0"/>
    <n v="0"/>
    <n v="3287"/>
    <n v="173688"/>
    <n v="0"/>
    <n v="0"/>
    <n v="0"/>
    <n v="0"/>
    <n v="0"/>
    <n v="263819"/>
    <n v="0"/>
    <n v="0"/>
    <n v="705"/>
    <n v="0"/>
    <n v="31769"/>
    <n v="3550"/>
    <n v="57233.5"/>
    <n v="0"/>
    <n v="34953"/>
    <n v="34953"/>
    <n v="1960"/>
    <n v="0"/>
    <n v="5"/>
    <n v="1970"/>
    <n v="0"/>
    <n v="627"/>
    <n v="0"/>
    <n v="0"/>
    <n v="627"/>
    <n v="0"/>
    <n v="0"/>
    <n v="0"/>
    <x v="1"/>
  </r>
  <r>
    <s v="销售四部海南省"/>
    <x v="4"/>
    <s v="销售四部"/>
    <x v="27"/>
    <n v="0"/>
    <n v="0"/>
    <n v="5"/>
    <n v="11221"/>
    <n v="0"/>
    <n v="0"/>
    <n v="0"/>
    <n v="0"/>
    <n v="0"/>
    <n v="16836.5"/>
    <n v="0"/>
    <n v="0"/>
    <n v="2635"/>
    <n v="0"/>
    <n v="0"/>
    <n v="0"/>
    <n v="2635"/>
    <n v="0"/>
    <n v="2730"/>
    <n v="2730"/>
    <n v="30"/>
    <n v="0"/>
    <n v="0"/>
    <n v="30"/>
    <n v="0"/>
    <n v="0"/>
    <n v="0"/>
    <n v="0"/>
    <n v="0"/>
    <n v="0"/>
    <n v="0"/>
    <n v="0"/>
    <x v="1"/>
  </r>
  <r>
    <s v="销售五部甘肃省"/>
    <x v="5"/>
    <s v="销售五部"/>
    <x v="28"/>
    <n v="0"/>
    <n v="0"/>
    <n v="9595"/>
    <n v="20990"/>
    <n v="0"/>
    <n v="0"/>
    <n v="0"/>
    <n v="0"/>
    <n v="0"/>
    <n v="41080"/>
    <n v="0"/>
    <n v="0"/>
    <n v="460"/>
    <n v="0"/>
    <n v="0"/>
    <n v="0"/>
    <n v="460"/>
    <n v="0"/>
    <n v="1640"/>
    <n v="1640"/>
    <n v="420"/>
    <n v="0"/>
    <n v="0"/>
    <n v="420"/>
    <n v="0"/>
    <n v="9"/>
    <n v="0"/>
    <n v="0"/>
    <n v="9"/>
    <n v="0"/>
    <n v="0"/>
    <n v="0"/>
    <x v="1"/>
  </r>
  <r>
    <s v="销售五部河南省"/>
    <x v="5"/>
    <s v="销售五部"/>
    <x v="29"/>
    <n v="0"/>
    <n v="0"/>
    <n v="10686"/>
    <n v="139148"/>
    <n v="0"/>
    <n v="0"/>
    <n v="0"/>
    <n v="0"/>
    <n v="0"/>
    <n v="219408"/>
    <n v="0"/>
    <n v="0"/>
    <n v="2072"/>
    <n v="0"/>
    <n v="0"/>
    <n v="0"/>
    <n v="2072"/>
    <n v="8502"/>
    <n v="10069"/>
    <n v="14320"/>
    <n v="1250"/>
    <n v="0"/>
    <n v="0"/>
    <n v="1250"/>
    <n v="0"/>
    <n v="570"/>
    <n v="0"/>
    <n v="0"/>
    <n v="570"/>
    <n v="0"/>
    <n v="0"/>
    <n v="0"/>
    <x v="1"/>
  </r>
  <r>
    <s v="销售五部陕西省"/>
    <x v="5"/>
    <s v="销售五部"/>
    <x v="2"/>
    <n v="0"/>
    <n v="0"/>
    <n v="304"/>
    <n v="29242"/>
    <n v="0"/>
    <n v="7025"/>
    <n v="0"/>
    <n v="48"/>
    <n v="0"/>
    <n v="60153.25"/>
    <n v="0"/>
    <n v="0"/>
    <n v="12"/>
    <n v="0"/>
    <n v="0"/>
    <n v="0"/>
    <n v="12"/>
    <n v="0"/>
    <n v="40"/>
    <n v="40"/>
    <n v="0"/>
    <n v="0"/>
    <n v="0"/>
    <n v="0"/>
    <n v="0"/>
    <n v="0"/>
    <n v="0"/>
    <n v="0"/>
    <n v="0"/>
    <n v="0"/>
    <n v="0"/>
    <n v="0"/>
    <x v="1"/>
  </r>
  <r>
    <s v="OTC浙江省"/>
    <x v="6"/>
    <m/>
    <x v="25"/>
    <n v="0"/>
    <n v="35715"/>
    <n v="0"/>
    <n v="0"/>
    <n v="0"/>
    <n v="0"/>
    <n v="960"/>
    <n v="0"/>
    <n v="0"/>
    <n v="29666.25"/>
    <n v="0"/>
    <n v="20"/>
    <n v="416"/>
    <n v="0"/>
    <n v="3996"/>
    <n v="0"/>
    <n v="6425"/>
    <n v="0"/>
    <n v="0"/>
    <n v="0"/>
    <n v="0"/>
    <n v="0"/>
    <n v="0"/>
    <n v="0"/>
    <n v="0"/>
    <n v="550"/>
    <n v="0"/>
    <n v="0"/>
    <n v="550"/>
    <n v="0"/>
    <n v="0"/>
    <n v="0"/>
    <x v="1"/>
  </r>
  <r>
    <s v="OTC安徽省"/>
    <x v="6"/>
    <m/>
    <x v="7"/>
    <n v="0"/>
    <n v="668"/>
    <n v="0"/>
    <n v="0"/>
    <n v="0"/>
    <n v="0"/>
    <n v="0"/>
    <n v="0"/>
    <n v="0"/>
    <n v="501"/>
    <n v="0"/>
    <n v="15"/>
    <n v="0"/>
    <n v="0"/>
    <n v="0"/>
    <n v="0"/>
    <n v="11.25"/>
    <n v="0"/>
    <n v="0"/>
    <n v="0"/>
    <n v="0"/>
    <n v="0"/>
    <n v="0"/>
    <n v="0"/>
    <n v="0"/>
    <n v="0"/>
    <n v="0"/>
    <n v="0"/>
    <n v="0"/>
    <n v="0"/>
    <n v="0"/>
    <n v="0"/>
    <x v="1"/>
  </r>
  <r>
    <s v="OTC江西省"/>
    <x v="6"/>
    <m/>
    <x v="8"/>
    <n v="0"/>
    <n v="10820"/>
    <n v="0"/>
    <n v="0"/>
    <n v="0"/>
    <n v="0"/>
    <n v="0"/>
    <n v="0"/>
    <n v="0"/>
    <n v="8115"/>
    <n v="0"/>
    <n v="1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x v="1"/>
  </r>
  <r>
    <s v="OTC江苏省"/>
    <x v="6"/>
    <m/>
    <x v="0"/>
    <n v="0"/>
    <n v="4375"/>
    <n v="0"/>
    <n v="0"/>
    <n v="0"/>
    <n v="0"/>
    <n v="0"/>
    <n v="0"/>
    <n v="0"/>
    <n v="3281.25"/>
    <n v="0"/>
    <n v="24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x v="1"/>
  </r>
  <r>
    <s v="OTC山东省"/>
    <x v="6"/>
    <m/>
    <x v="1"/>
    <n v="0"/>
    <n v="6800"/>
    <n v="360"/>
    <n v="0"/>
    <n v="0"/>
    <n v="0"/>
    <n v="0"/>
    <n v="0"/>
    <n v="0"/>
    <n v="5460"/>
    <n v="0"/>
    <n v="0"/>
    <n v="0"/>
    <n v="0"/>
    <n v="5"/>
    <n v="0"/>
    <n v="7.5"/>
    <n v="0"/>
    <n v="0"/>
    <n v="0"/>
    <n v="0"/>
    <n v="0"/>
    <n v="0"/>
    <n v="0"/>
    <n v="0"/>
    <n v="0"/>
    <n v="0"/>
    <n v="0"/>
    <n v="0"/>
    <n v="0"/>
    <n v="0"/>
    <n v="0"/>
    <x v="1"/>
  </r>
  <r>
    <s v="OTC福建省"/>
    <x v="6"/>
    <m/>
    <x v="24"/>
    <n v="0"/>
    <n v="8680"/>
    <n v="0"/>
    <n v="0"/>
    <n v="0"/>
    <n v="0"/>
    <n v="0"/>
    <n v="0"/>
    <n v="0"/>
    <n v="65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广东省"/>
    <x v="6"/>
    <m/>
    <x v="26"/>
    <n v="0"/>
    <n v="47016"/>
    <n v="0"/>
    <n v="0"/>
    <n v="0"/>
    <n v="0"/>
    <n v="0"/>
    <n v="0"/>
    <n v="0"/>
    <n v="35262"/>
    <n v="0"/>
    <n v="795"/>
    <n v="0"/>
    <n v="0"/>
    <n v="0"/>
    <n v="0"/>
    <n v="596.25"/>
    <n v="0"/>
    <n v="0"/>
    <n v="0"/>
    <n v="0"/>
    <n v="0"/>
    <n v="0"/>
    <n v="0"/>
    <n v="0"/>
    <n v="0"/>
    <n v="300"/>
    <n v="0"/>
    <n v="351"/>
    <n v="0"/>
    <n v="0"/>
    <n v="0"/>
    <x v="1"/>
  </r>
  <r>
    <s v="OTC海南省"/>
    <x v="6"/>
    <m/>
    <x v="27"/>
    <n v="0"/>
    <n v="810"/>
    <n v="0"/>
    <n v="0"/>
    <n v="0"/>
    <n v="0"/>
    <n v="0"/>
    <n v="0"/>
    <n v="0"/>
    <n v="60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湖南省"/>
    <x v="6"/>
    <m/>
    <x v="22"/>
    <n v="0"/>
    <n v="640"/>
    <n v="0"/>
    <n v="0"/>
    <n v="0"/>
    <n v="0"/>
    <n v="0"/>
    <n v="0"/>
    <n v="0"/>
    <n v="480"/>
    <n v="0"/>
    <n v="873"/>
    <n v="0"/>
    <n v="0"/>
    <n v="0"/>
    <n v="0"/>
    <n v="654.75"/>
    <n v="0"/>
    <n v="0"/>
    <n v="0"/>
    <n v="0"/>
    <n v="0"/>
    <n v="0"/>
    <n v="0"/>
    <n v="0"/>
    <n v="0"/>
    <n v="0"/>
    <n v="0"/>
    <n v="0"/>
    <n v="0"/>
    <n v="0"/>
    <n v="0"/>
    <x v="1"/>
  </r>
  <r>
    <s v="OTC湖北省"/>
    <x v="6"/>
    <m/>
    <x v="16"/>
    <n v="0"/>
    <n v="3820"/>
    <n v="0"/>
    <n v="0"/>
    <n v="0"/>
    <n v="0"/>
    <n v="0"/>
    <n v="0"/>
    <n v="0"/>
    <n v="2865"/>
    <n v="0"/>
    <n v="243"/>
    <n v="0"/>
    <n v="0"/>
    <n v="0"/>
    <n v="0"/>
    <n v="182.25"/>
    <n v="0"/>
    <n v="0"/>
    <n v="0"/>
    <n v="0"/>
    <n v="0"/>
    <n v="0"/>
    <n v="0"/>
    <n v="0"/>
    <n v="0"/>
    <n v="0"/>
    <n v="0"/>
    <n v="0"/>
    <n v="0"/>
    <n v="0"/>
    <n v="0"/>
    <x v="1"/>
  </r>
  <r>
    <s v="OTC广西壮族自治区"/>
    <x v="6"/>
    <m/>
    <x v="21"/>
    <n v="0"/>
    <n v="6082"/>
    <n v="0"/>
    <n v="0"/>
    <n v="0"/>
    <n v="0"/>
    <n v="0"/>
    <n v="0"/>
    <n v="0"/>
    <n v="456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贵州省"/>
    <x v="6"/>
    <m/>
    <x v="20"/>
    <n v="0"/>
    <n v="180"/>
    <n v="0"/>
    <n v="0"/>
    <n v="0"/>
    <n v="0"/>
    <n v="0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云南省"/>
    <x v="6"/>
    <m/>
    <x v="17"/>
    <n v="0"/>
    <n v="905"/>
    <n v="0"/>
    <n v="3133"/>
    <n v="0"/>
    <n v="0"/>
    <n v="0"/>
    <n v="0"/>
    <n v="0"/>
    <n v="5378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陕西省"/>
    <x v="6"/>
    <m/>
    <x v="2"/>
    <n v="0"/>
    <n v="8793"/>
    <n v="0"/>
    <n v="0"/>
    <n v="0"/>
    <n v="0"/>
    <n v="0"/>
    <n v="0"/>
    <n v="0"/>
    <n v="6594.75"/>
    <n v="0"/>
    <n v="1291"/>
    <n v="0"/>
    <n v="0"/>
    <n v="0"/>
    <n v="0"/>
    <n v="968.25"/>
    <n v="0"/>
    <n v="0"/>
    <n v="0"/>
    <n v="0"/>
    <n v="0"/>
    <n v="0"/>
    <n v="0"/>
    <n v="0"/>
    <n v="0"/>
    <n v="0"/>
    <n v="0"/>
    <n v="0"/>
    <n v="0"/>
    <n v="0"/>
    <n v="0"/>
    <x v="1"/>
  </r>
  <r>
    <s v="OTC四川省"/>
    <x v="6"/>
    <m/>
    <x v="18"/>
    <n v="0"/>
    <n v="2680"/>
    <n v="0"/>
    <n v="0"/>
    <n v="0"/>
    <n v="0"/>
    <n v="0"/>
    <n v="0"/>
    <n v="0"/>
    <n v="2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重庆市"/>
    <x v="6"/>
    <m/>
    <x v="19"/>
    <n v="0"/>
    <n v="540"/>
    <n v="0"/>
    <n v="0"/>
    <n v="0"/>
    <n v="0"/>
    <n v="0"/>
    <n v="0"/>
    <n v="0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甘肃省"/>
    <x v="6"/>
    <m/>
    <x v="28"/>
    <n v="0"/>
    <n v="8425"/>
    <n v="0"/>
    <n v="0"/>
    <n v="-102"/>
    <n v="0"/>
    <n v="0"/>
    <n v="0"/>
    <n v="0"/>
    <n v="6114.75"/>
    <n v="0"/>
    <n v="47"/>
    <n v="0"/>
    <n v="0"/>
    <n v="0"/>
    <n v="0"/>
    <n v="35.25"/>
    <n v="0"/>
    <n v="0"/>
    <n v="0"/>
    <n v="0"/>
    <n v="0"/>
    <n v="0"/>
    <n v="0"/>
    <n v="0"/>
    <n v="0"/>
    <n v="0"/>
    <n v="0"/>
    <n v="0"/>
    <n v="0"/>
    <n v="0"/>
    <n v="0"/>
    <x v="1"/>
  </r>
  <r>
    <s v="OTC北京市"/>
    <x v="6"/>
    <m/>
    <x v="23"/>
    <n v="0"/>
    <n v="4749"/>
    <n v="0"/>
    <n v="0"/>
    <n v="0"/>
    <n v="0"/>
    <n v="0"/>
    <n v="0"/>
    <n v="0"/>
    <n v="356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河北省"/>
    <x v="6"/>
    <m/>
    <x v="9"/>
    <n v="0"/>
    <n v="24937"/>
    <n v="0"/>
    <n v="0"/>
    <n v="7"/>
    <n v="0"/>
    <n v="0"/>
    <n v="0"/>
    <n v="0"/>
    <n v="18716.75"/>
    <n v="0"/>
    <n v="1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x v="1"/>
  </r>
  <r>
    <s v="OTC天津市"/>
    <x v="6"/>
    <m/>
    <x v="11"/>
    <n v="0"/>
    <n v="1310"/>
    <n v="205"/>
    <n v="0"/>
    <n v="0"/>
    <n v="0"/>
    <n v="0"/>
    <n v="0"/>
    <n v="0"/>
    <n v="11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河南省"/>
    <x v="6"/>
    <m/>
    <x v="29"/>
    <n v="0"/>
    <n v="33840"/>
    <n v="0"/>
    <n v="0"/>
    <n v="0"/>
    <n v="0"/>
    <n v="0"/>
    <n v="0"/>
    <n v="0"/>
    <n v="25380"/>
    <n v="0"/>
    <n v="8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x v="1"/>
  </r>
  <r>
    <s v="OTC山西省"/>
    <x v="6"/>
    <m/>
    <x v="10"/>
    <n v="0"/>
    <n v="15974"/>
    <n v="0"/>
    <n v="0"/>
    <n v="0"/>
    <n v="0"/>
    <n v="0"/>
    <n v="0"/>
    <n v="0"/>
    <n v="11980.5"/>
    <n v="0"/>
    <n v="118"/>
    <n v="0"/>
    <n v="0"/>
    <n v="0"/>
    <n v="0"/>
    <n v="88.5"/>
    <n v="0"/>
    <n v="0"/>
    <n v="0"/>
    <n v="0"/>
    <n v="0"/>
    <n v="0"/>
    <n v="0"/>
    <n v="0"/>
    <n v="0"/>
    <n v="0"/>
    <n v="0"/>
    <n v="0"/>
    <n v="0"/>
    <n v="0"/>
    <n v="0"/>
    <x v="1"/>
  </r>
  <r>
    <s v="OTC黑龙江省"/>
    <x v="6"/>
    <m/>
    <x v="12"/>
    <n v="0"/>
    <n v="5111"/>
    <n v="0"/>
    <n v="0"/>
    <n v="0"/>
    <n v="0"/>
    <n v="0"/>
    <n v="0"/>
    <n v="0"/>
    <n v="3833.25"/>
    <n v="0"/>
    <n v="0"/>
    <n v="0"/>
    <n v="0"/>
    <n v="0"/>
    <n v="0"/>
    <n v="0"/>
    <n v="0"/>
    <n v="0"/>
    <n v="0"/>
    <n v="0"/>
    <n v="0"/>
    <n v="0"/>
    <n v="0"/>
    <n v="0"/>
    <n v="0"/>
    <n v="900"/>
    <n v="0"/>
    <n v="1053"/>
    <n v="0"/>
    <n v="0"/>
    <n v="0"/>
    <x v="1"/>
  </r>
  <r>
    <s v="OTC吉林省"/>
    <x v="6"/>
    <m/>
    <x v="14"/>
    <n v="0"/>
    <n v="6010"/>
    <n v="0"/>
    <n v="0"/>
    <n v="0"/>
    <n v="0"/>
    <n v="0"/>
    <n v="0"/>
    <n v="0"/>
    <n v="450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OTC辽宁省"/>
    <x v="6"/>
    <m/>
    <x v="13"/>
    <n v="0"/>
    <n v="7979"/>
    <n v="0"/>
    <n v="0"/>
    <n v="0"/>
    <n v="0"/>
    <n v="0"/>
    <n v="0"/>
    <n v="0"/>
    <n v="5984.25"/>
    <n v="0"/>
    <n v="481"/>
    <n v="0"/>
    <n v="0"/>
    <n v="0"/>
    <n v="0"/>
    <n v="360.75"/>
    <n v="0"/>
    <n v="0"/>
    <n v="0"/>
    <n v="0"/>
    <n v="0"/>
    <n v="0"/>
    <n v="0"/>
    <n v="0"/>
    <n v="0"/>
    <n v="0"/>
    <n v="0"/>
    <n v="0"/>
    <n v="0"/>
    <n v="0"/>
    <n v="0"/>
    <x v="1"/>
  </r>
  <r>
    <s v="电商部电商"/>
    <x v="7"/>
    <s v="电商部"/>
    <x v="30"/>
    <n v="0"/>
    <n v="8353"/>
    <n v="34590"/>
    <n v="6774"/>
    <n v="0"/>
    <n v="32486"/>
    <n v="0"/>
    <n v="0"/>
    <n v="153"/>
    <n v="125256.75"/>
    <n v="0"/>
    <n v="420"/>
    <n v="2332"/>
    <n v="0"/>
    <n v="15801"/>
    <n v="0"/>
    <n v="26348.5"/>
    <n v="0"/>
    <n v="15779"/>
    <n v="15779"/>
    <n v="718"/>
    <n v="0"/>
    <n v="0"/>
    <n v="718"/>
    <n v="0"/>
    <n v="0"/>
    <n v="0"/>
    <n v="0"/>
    <n v="0"/>
    <n v="0"/>
    <n v="1970"/>
    <n v="3447.5"/>
    <x v="1"/>
  </r>
  <r>
    <s v="上海事业部上海市"/>
    <x v="8"/>
    <s v="上海大包"/>
    <x v="31"/>
    <n v="0"/>
    <n v="0"/>
    <n v="63977.22"/>
    <n v="67333.33"/>
    <n v="0"/>
    <n v="0"/>
    <n v="0"/>
    <n v="0"/>
    <n v="0"/>
    <n v="164977.215"/>
    <n v="3599"/>
    <n v="0"/>
    <n v="41929"/>
    <n v="0"/>
    <n v="800"/>
    <n v="0"/>
    <n v="44928.5"/>
    <n v="0"/>
    <n v="39638"/>
    <n v="39638"/>
    <n v="0"/>
    <n v="0"/>
    <n v="0"/>
    <n v="0"/>
    <n v="0"/>
    <n v="94"/>
    <n v="0"/>
    <n v="0"/>
    <n v="94"/>
    <n v="0"/>
    <n v="0"/>
    <n v="0"/>
    <x v="1"/>
  </r>
  <r>
    <s v="商务部河南省"/>
    <x v="9"/>
    <s v="商务部"/>
    <x v="29"/>
    <n v="0"/>
    <n v="3653"/>
    <n v="0"/>
    <n v="0"/>
    <n v="0"/>
    <n v="0"/>
    <n v="0"/>
    <n v="0"/>
    <n v="0"/>
    <n v="273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陕西省"/>
    <x v="9"/>
    <s v="商务部"/>
    <x v="2"/>
    <n v="0"/>
    <n v="19260"/>
    <n v="840"/>
    <n v="0"/>
    <n v="0"/>
    <n v="0"/>
    <n v="0"/>
    <n v="0"/>
    <n v="0"/>
    <n v="15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湖北省"/>
    <x v="9"/>
    <s v="商务部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安徽省"/>
    <x v="9"/>
    <s v="商务部"/>
    <x v="7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山东省"/>
    <x v="9"/>
    <s v="商务部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广东省"/>
    <x v="9"/>
    <s v="商务部"/>
    <x v="26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江苏省"/>
    <x v="9"/>
    <s v="商务部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重庆市"/>
    <x v="9"/>
    <s v="商务部"/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四川省"/>
    <x v="9"/>
    <s v="商务部"/>
    <x v="18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湖南省"/>
    <x v="9"/>
    <s v="商务部"/>
    <x v="22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浙江省"/>
    <x v="9"/>
    <s v="商务部"/>
    <x v="25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北京市"/>
    <x v="9"/>
    <s v="商务部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河北省"/>
    <x v="9"/>
    <s v="商务部"/>
    <x v="9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黑龙江省"/>
    <x v="9"/>
    <s v="商务部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吉林省"/>
    <x v="9"/>
    <s v="商务部"/>
    <x v="14"/>
    <n v="0"/>
    <n v="1980"/>
    <n v="0"/>
    <n v="0"/>
    <n v="0"/>
    <n v="0"/>
    <n v="0"/>
    <n v="0"/>
    <n v="0"/>
    <n v="14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江西省"/>
    <x v="9"/>
    <s v="商务部"/>
    <x v="8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辽宁省"/>
    <x v="9"/>
    <s v="商务部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山西省"/>
    <x v="9"/>
    <s v="商务部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商务部福建省"/>
    <x v="9"/>
    <s v="商务部"/>
    <x v="24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"/>
  </r>
  <r>
    <s v="营销总部浙江省"/>
    <x v="10"/>
    <s v="营销总部"/>
    <x v="25"/>
    <n v="50"/>
    <n v="4565"/>
    <n v="8600"/>
    <n v="749"/>
    <n v="0"/>
    <n v="11"/>
    <n v="0"/>
    <n v="20"/>
    <n v="20"/>
    <n v="13422"/>
    <n v="47"/>
    <n v="88"/>
    <n v="404"/>
    <n v="63"/>
    <n v="1103"/>
    <n v="17"/>
    <n v="2269.25"/>
    <n v="268"/>
    <n v="-16"/>
    <n v="118"/>
    <n v="2412"/>
    <n v="0"/>
    <n v="1041"/>
    <n v="4494"/>
    <n v="0"/>
    <n v="712"/>
    <n v="0"/>
    <n v="0"/>
    <n v="712"/>
    <n v="0"/>
    <n v="0"/>
    <n v="0"/>
    <x v="1"/>
  </r>
  <r>
    <s v="代理事业部江苏省"/>
    <x v="0"/>
    <s v="招商1区"/>
    <x v="0"/>
    <n v="0"/>
    <n v="0"/>
    <n v="4963"/>
    <n v="87764"/>
    <n v="0"/>
    <n v="0"/>
    <n v="0"/>
    <n v="6407"/>
    <n v="0"/>
    <n v="160635.25"/>
    <n v="0"/>
    <n v="0"/>
    <n v="0"/>
    <n v="2204"/>
    <n v="14309"/>
    <n v="28558"/>
    <n v="95613.5"/>
    <n v="0"/>
    <n v="24434"/>
    <n v="24434"/>
    <n v="80"/>
    <n v="0"/>
    <n v="0"/>
    <n v="80"/>
    <n v="0"/>
    <n v="621"/>
    <n v="0"/>
    <n v="0"/>
    <n v="621"/>
    <n v="0"/>
    <n v="0"/>
    <n v="0"/>
    <x v="2"/>
  </r>
  <r>
    <s v="代理事业部山东省"/>
    <x v="0"/>
    <s v="招商2区"/>
    <x v="1"/>
    <n v="0"/>
    <n v="0"/>
    <n v="71384"/>
    <n v="2493"/>
    <n v="0"/>
    <n v="0"/>
    <n v="0"/>
    <n v="0"/>
    <n v="0"/>
    <n v="75123.5"/>
    <n v="0"/>
    <n v="0"/>
    <n v="1455"/>
    <n v="0"/>
    <n v="21497"/>
    <n v="2730"/>
    <n v="40525.5"/>
    <n v="1007"/>
    <n v="3964"/>
    <n v="4467.5"/>
    <n v="0"/>
    <n v="0"/>
    <n v="0"/>
    <n v="0"/>
    <n v="0"/>
    <n v="1085"/>
    <n v="0"/>
    <n v="0"/>
    <n v="1085"/>
    <n v="0"/>
    <n v="0"/>
    <n v="0"/>
    <x v="2"/>
  </r>
  <r>
    <s v="代理事业部陕西省"/>
    <x v="0"/>
    <s v="招商2区"/>
    <x v="2"/>
    <n v="0"/>
    <n v="0"/>
    <n v="1715"/>
    <n v="13730"/>
    <n v="0"/>
    <n v="3977"/>
    <n v="0"/>
    <n v="10"/>
    <n v="0"/>
    <n v="31295.75"/>
    <n v="0"/>
    <n v="0"/>
    <n v="0"/>
    <n v="0"/>
    <n v="0"/>
    <n v="0"/>
    <n v="0"/>
    <n v="0"/>
    <n v="5027"/>
    <n v="5027"/>
    <n v="0"/>
    <n v="0"/>
    <n v="0"/>
    <n v="0"/>
    <n v="0"/>
    <n v="0"/>
    <n v="0"/>
    <n v="0"/>
    <n v="0"/>
    <n v="0"/>
    <n v="0"/>
    <n v="0"/>
    <x v="2"/>
  </r>
  <r>
    <s v="代理事业部宁夏回族自治区"/>
    <x v="0"/>
    <s v="招商2区"/>
    <x v="3"/>
    <n v="0"/>
    <n v="0"/>
    <n v="4020"/>
    <n v="9448"/>
    <n v="0"/>
    <n v="0"/>
    <n v="0"/>
    <n v="0"/>
    <n v="0"/>
    <n v="18192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x v="2"/>
  </r>
  <r>
    <s v="代理事业部青海省"/>
    <x v="0"/>
    <s v="招商2区"/>
    <x v="4"/>
    <n v="0"/>
    <n v="0"/>
    <n v="351"/>
    <n v="4175"/>
    <n v="0"/>
    <n v="0"/>
    <n v="0"/>
    <n v="0"/>
    <n v="0"/>
    <n v="6613.5"/>
    <n v="0"/>
    <n v="0"/>
    <n v="0"/>
    <n v="0"/>
    <n v="0"/>
    <n v="240"/>
    <n v="600"/>
    <n v="0"/>
    <n v="3392"/>
    <n v="3392"/>
    <n v="0"/>
    <n v="0"/>
    <n v="0"/>
    <n v="0"/>
    <n v="0"/>
    <n v="0"/>
    <n v="0"/>
    <n v="0"/>
    <n v="0"/>
    <n v="0"/>
    <n v="0"/>
    <n v="0"/>
    <x v="2"/>
  </r>
  <r>
    <s v="代理事业部西藏自治区"/>
    <x v="0"/>
    <s v="招商6区"/>
    <x v="5"/>
    <n v="0"/>
    <n v="0"/>
    <n v="180"/>
    <n v="0"/>
    <n v="0"/>
    <n v="0"/>
    <n v="0"/>
    <n v="0"/>
    <n v="0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代理事业部新疆维吾尔自治区"/>
    <x v="0"/>
    <s v="招商2区"/>
    <x v="6"/>
    <n v="0"/>
    <n v="0"/>
    <n v="5544"/>
    <n v="7904"/>
    <n v="0"/>
    <n v="5470"/>
    <n v="0"/>
    <n v="0"/>
    <n v="0"/>
    <n v="29707.5"/>
    <n v="0"/>
    <n v="0"/>
    <n v="1088"/>
    <n v="0"/>
    <n v="0"/>
    <n v="0"/>
    <n v="1088"/>
    <n v="0"/>
    <n v="4053"/>
    <n v="4053"/>
    <n v="0"/>
    <n v="0"/>
    <n v="0"/>
    <n v="0"/>
    <n v="0"/>
    <n v="0"/>
    <n v="0"/>
    <n v="0"/>
    <n v="0"/>
    <n v="0"/>
    <n v="0"/>
    <n v="0"/>
    <x v="2"/>
  </r>
  <r>
    <s v="代理事业部安徽省"/>
    <x v="0"/>
    <s v="招商3区"/>
    <x v="7"/>
    <n v="0"/>
    <n v="0"/>
    <n v="8202"/>
    <n v="18852"/>
    <n v="0"/>
    <n v="0"/>
    <n v="0"/>
    <n v="0"/>
    <n v="0"/>
    <n v="36480"/>
    <n v="1500"/>
    <n v="0"/>
    <n v="10091"/>
    <n v="500"/>
    <n v="6720"/>
    <n v="0"/>
    <n v="21546"/>
    <n v="0"/>
    <n v="2106"/>
    <n v="2106"/>
    <n v="50"/>
    <n v="0"/>
    <n v="0"/>
    <n v="50"/>
    <n v="0"/>
    <n v="1580"/>
    <n v="0"/>
    <n v="0"/>
    <n v="1580"/>
    <n v="0"/>
    <n v="0"/>
    <n v="0"/>
    <x v="2"/>
  </r>
  <r>
    <s v="代理事业部江西省"/>
    <x v="0"/>
    <s v="招商3区"/>
    <x v="8"/>
    <n v="0"/>
    <n v="0"/>
    <n v="0"/>
    <n v="16666"/>
    <n v="0"/>
    <n v="612"/>
    <n v="0"/>
    <n v="11"/>
    <n v="0"/>
    <n v="26417.25"/>
    <n v="0"/>
    <n v="0"/>
    <n v="240"/>
    <n v="320"/>
    <n v="0"/>
    <n v="0"/>
    <n v="640"/>
    <n v="0"/>
    <n v="10827"/>
    <n v="10827"/>
    <n v="0"/>
    <n v="0"/>
    <n v="0"/>
    <n v="0"/>
    <n v="0"/>
    <n v="470"/>
    <n v="0"/>
    <n v="0"/>
    <n v="470"/>
    <n v="0"/>
    <n v="0"/>
    <n v="0"/>
    <x v="2"/>
  </r>
  <r>
    <s v="代理事业部河北省"/>
    <x v="0"/>
    <s v="招商3区"/>
    <x v="9"/>
    <n v="0"/>
    <n v="0"/>
    <n v="40"/>
    <n v="73296"/>
    <n v="0"/>
    <n v="0"/>
    <n v="0"/>
    <n v="0"/>
    <n v="0"/>
    <n v="109984"/>
    <n v="0"/>
    <n v="0"/>
    <n v="45"/>
    <n v="0"/>
    <n v="0"/>
    <n v="0"/>
    <n v="45"/>
    <n v="0"/>
    <n v="11795"/>
    <n v="11795"/>
    <n v="220"/>
    <n v="0"/>
    <n v="0"/>
    <n v="220"/>
    <n v="0"/>
    <n v="10"/>
    <n v="0"/>
    <n v="0"/>
    <n v="10"/>
    <n v="0"/>
    <n v="0"/>
    <n v="0"/>
    <x v="2"/>
  </r>
  <r>
    <s v="代理事业部山西省"/>
    <x v="0"/>
    <s v="招商3区"/>
    <x v="10"/>
    <n v="0"/>
    <n v="0"/>
    <n v="0"/>
    <n v="20794"/>
    <n v="0"/>
    <n v="0"/>
    <n v="0"/>
    <n v="0"/>
    <n v="0"/>
    <n v="31191"/>
    <n v="0"/>
    <n v="0"/>
    <n v="8554"/>
    <n v="0"/>
    <n v="2383"/>
    <n v="0"/>
    <n v="12128.5"/>
    <n v="0"/>
    <n v="897"/>
    <n v="897"/>
    <n v="290"/>
    <n v="0"/>
    <n v="0"/>
    <n v="290"/>
    <n v="0"/>
    <n v="130"/>
    <n v="0"/>
    <n v="0"/>
    <n v="130"/>
    <n v="0"/>
    <n v="0"/>
    <n v="0"/>
    <x v="2"/>
  </r>
  <r>
    <s v="代理事业部天津市"/>
    <x v="0"/>
    <s v="招商3区"/>
    <x v="11"/>
    <n v="0"/>
    <n v="0"/>
    <n v="40"/>
    <n v="14338"/>
    <n v="0"/>
    <n v="5512"/>
    <n v="0"/>
    <n v="20"/>
    <n v="0"/>
    <n v="34024"/>
    <n v="0"/>
    <n v="0"/>
    <n v="1195"/>
    <n v="0"/>
    <n v="1399"/>
    <n v="0"/>
    <n v="3293.5"/>
    <n v="0"/>
    <n v="1192"/>
    <n v="1192"/>
    <n v="10"/>
    <n v="0"/>
    <n v="0"/>
    <n v="10"/>
    <n v="0"/>
    <n v="0"/>
    <n v="0"/>
    <n v="0"/>
    <n v="0"/>
    <n v="0"/>
    <n v="0"/>
    <n v="0"/>
    <x v="2"/>
  </r>
  <r>
    <s v="代理事业部黑龙江省"/>
    <x v="0"/>
    <s v="招商4区"/>
    <x v="12"/>
    <n v="0"/>
    <n v="0"/>
    <n v="1294"/>
    <n v="6333"/>
    <n v="0"/>
    <n v="4710"/>
    <n v="0"/>
    <n v="826"/>
    <n v="0"/>
    <n v="24488.5"/>
    <n v="0"/>
    <n v="0"/>
    <n v="135"/>
    <n v="0"/>
    <n v="100"/>
    <n v="7072"/>
    <n v="17965"/>
    <n v="0"/>
    <n v="400"/>
    <n v="400"/>
    <n v="0"/>
    <n v="0"/>
    <n v="0"/>
    <n v="0"/>
    <n v="0"/>
    <n v="0"/>
    <n v="0"/>
    <n v="0"/>
    <n v="0"/>
    <n v="0"/>
    <n v="0"/>
    <n v="0"/>
    <x v="2"/>
  </r>
  <r>
    <s v="代理事业部辽宁省"/>
    <x v="0"/>
    <s v="招商4区"/>
    <x v="13"/>
    <n v="0"/>
    <n v="0"/>
    <n v="-100"/>
    <n v="31635"/>
    <n v="0"/>
    <n v="2930"/>
    <n v="0"/>
    <n v="48"/>
    <n v="0"/>
    <n v="54125"/>
    <n v="0"/>
    <n v="0"/>
    <n v="235"/>
    <n v="20"/>
    <n v="0"/>
    <n v="0"/>
    <n v="260"/>
    <n v="0"/>
    <n v="3280"/>
    <n v="3280"/>
    <n v="20"/>
    <n v="0"/>
    <n v="0"/>
    <n v="20"/>
    <n v="0"/>
    <n v="0"/>
    <n v="0"/>
    <n v="0"/>
    <n v="0"/>
    <n v="0"/>
    <n v="0"/>
    <n v="0"/>
    <x v="2"/>
  </r>
  <r>
    <s v="代理事业部吉林省"/>
    <x v="0"/>
    <s v="招商4区"/>
    <x v="14"/>
    <n v="0"/>
    <n v="0"/>
    <n v="57"/>
    <n v="9028"/>
    <n v="0"/>
    <n v="2784"/>
    <n v="0"/>
    <n v="138"/>
    <n v="0"/>
    <n v="20380.5"/>
    <n v="0"/>
    <n v="0"/>
    <n v="0"/>
    <n v="0"/>
    <n v="1320"/>
    <n v="0"/>
    <n v="1980"/>
    <n v="0"/>
    <n v="480"/>
    <n v="480"/>
    <n v="0"/>
    <n v="0"/>
    <n v="0"/>
    <n v="0"/>
    <n v="0"/>
    <n v="0"/>
    <n v="0"/>
    <n v="0"/>
    <n v="0"/>
    <n v="0"/>
    <n v="0"/>
    <n v="0"/>
    <x v="2"/>
  </r>
  <r>
    <s v="代理事业部内蒙古自治区"/>
    <x v="0"/>
    <s v="招商4区"/>
    <x v="15"/>
    <n v="0"/>
    <n v="0"/>
    <n v="729"/>
    <n v="23133"/>
    <n v="0"/>
    <n v="0"/>
    <n v="0"/>
    <n v="0"/>
    <n v="0"/>
    <n v="35428.5"/>
    <n v="0"/>
    <n v="0"/>
    <n v="0"/>
    <n v="0"/>
    <n v="0"/>
    <n v="0"/>
    <n v="0"/>
    <n v="0"/>
    <n v="1475"/>
    <n v="1475"/>
    <n v="710"/>
    <n v="0"/>
    <n v="0"/>
    <n v="710"/>
    <n v="0"/>
    <n v="0"/>
    <n v="0"/>
    <n v="0"/>
    <n v="0"/>
    <n v="0"/>
    <n v="0"/>
    <n v="0"/>
    <x v="2"/>
  </r>
  <r>
    <s v="代理事业部湖北省"/>
    <x v="0"/>
    <s v="招商5区"/>
    <x v="16"/>
    <n v="0"/>
    <n v="0"/>
    <n v="39750"/>
    <n v="7410"/>
    <n v="0"/>
    <n v="0"/>
    <n v="0"/>
    <n v="0"/>
    <n v="0"/>
    <n v="50865"/>
    <n v="0"/>
    <n v="0"/>
    <n v="1711"/>
    <n v="0"/>
    <n v="0"/>
    <n v="0"/>
    <n v="1711"/>
    <n v="0"/>
    <n v="27187"/>
    <n v="27187"/>
    <n v="920"/>
    <n v="0"/>
    <n v="0"/>
    <n v="920"/>
    <n v="0"/>
    <n v="2200"/>
    <n v="0"/>
    <n v="0"/>
    <n v="2200"/>
    <n v="0"/>
    <n v="0"/>
    <n v="0"/>
    <x v="2"/>
  </r>
  <r>
    <s v="代理事业部云南省"/>
    <x v="0"/>
    <s v="招商5区"/>
    <x v="17"/>
    <n v="0"/>
    <n v="0"/>
    <n v="0"/>
    <n v="17746"/>
    <n v="0"/>
    <n v="0"/>
    <n v="0"/>
    <n v="982"/>
    <n v="0"/>
    <n v="30301.5"/>
    <n v="8664"/>
    <n v="0"/>
    <n v="5636"/>
    <n v="673"/>
    <n v="2465"/>
    <n v="0"/>
    <n v="14506.75"/>
    <n v="0"/>
    <n v="412"/>
    <n v="412"/>
    <n v="0"/>
    <n v="0"/>
    <n v="0"/>
    <n v="0"/>
    <n v="0"/>
    <n v="-10"/>
    <n v="0"/>
    <n v="0"/>
    <n v="-10"/>
    <n v="0"/>
    <n v="0"/>
    <n v="0"/>
    <x v="2"/>
  </r>
  <r>
    <s v="代理事业部四川省"/>
    <x v="0"/>
    <s v="招商6区"/>
    <x v="18"/>
    <n v="0"/>
    <n v="0"/>
    <n v="82025"/>
    <n v="4590"/>
    <n v="0"/>
    <n v="0"/>
    <n v="0"/>
    <n v="0"/>
    <n v="0"/>
    <n v="88910"/>
    <n v="0"/>
    <n v="0"/>
    <n v="3882"/>
    <n v="0"/>
    <n v="0"/>
    <n v="0"/>
    <n v="3882"/>
    <n v="0"/>
    <n v="5780"/>
    <n v="5780"/>
    <n v="540"/>
    <n v="0"/>
    <n v="0"/>
    <n v="540"/>
    <n v="0"/>
    <n v="1260"/>
    <n v="0"/>
    <n v="0"/>
    <n v="1260"/>
    <n v="0"/>
    <n v="0"/>
    <n v="0"/>
    <x v="2"/>
  </r>
  <r>
    <s v="代理事业部重庆市"/>
    <x v="0"/>
    <s v="招商6区"/>
    <x v="19"/>
    <n v="0"/>
    <n v="0"/>
    <n v="987"/>
    <n v="20760"/>
    <n v="0"/>
    <n v="275"/>
    <n v="0"/>
    <n v="50"/>
    <n v="0"/>
    <n v="32933.25"/>
    <n v="0"/>
    <n v="0"/>
    <n v="1063"/>
    <n v="0"/>
    <n v="0"/>
    <n v="0"/>
    <n v="1063"/>
    <n v="0"/>
    <n v="7960"/>
    <n v="7960"/>
    <n v="0"/>
    <n v="0"/>
    <n v="0"/>
    <n v="0"/>
    <n v="0"/>
    <n v="0"/>
    <n v="0"/>
    <n v="0"/>
    <n v="0"/>
    <n v="0"/>
    <n v="0"/>
    <n v="0"/>
    <x v="2"/>
  </r>
  <r>
    <s v="代理事业部贵州省"/>
    <x v="0"/>
    <s v="招商6区"/>
    <x v="20"/>
    <n v="0"/>
    <n v="0"/>
    <n v="20"/>
    <n v="4618"/>
    <n v="0"/>
    <n v="6834"/>
    <n v="0"/>
    <n v="-600"/>
    <n v="0"/>
    <n v="20073.5"/>
    <n v="0"/>
    <n v="0"/>
    <n v="0"/>
    <n v="220"/>
    <n v="0"/>
    <n v="0"/>
    <n v="275"/>
    <n v="0"/>
    <n v="630"/>
    <n v="630"/>
    <n v="0"/>
    <n v="0"/>
    <n v="0"/>
    <n v="0"/>
    <n v="0"/>
    <n v="50"/>
    <n v="0"/>
    <n v="0"/>
    <n v="50"/>
    <n v="0"/>
    <n v="0"/>
    <n v="0"/>
    <x v="2"/>
  </r>
  <r>
    <s v="代理事业部广西壮族自治区"/>
    <x v="0"/>
    <s v="招商7区"/>
    <x v="21"/>
    <n v="0"/>
    <n v="0"/>
    <n v="0"/>
    <n v="23696"/>
    <n v="0"/>
    <n v="0"/>
    <n v="0"/>
    <n v="0"/>
    <n v="0"/>
    <n v="35544"/>
    <n v="0"/>
    <n v="0"/>
    <n v="8240"/>
    <n v="0"/>
    <n v="2341"/>
    <n v="0"/>
    <n v="11751.5"/>
    <n v="2268"/>
    <n v="0"/>
    <n v="1134"/>
    <n v="0"/>
    <n v="0"/>
    <n v="0"/>
    <n v="0"/>
    <n v="0"/>
    <n v="1960"/>
    <n v="0"/>
    <n v="0"/>
    <n v="1960"/>
    <n v="0"/>
    <n v="0"/>
    <n v="0"/>
    <x v="2"/>
  </r>
  <r>
    <s v="代理事业部湖南省"/>
    <x v="0"/>
    <s v="招商7区"/>
    <x v="22"/>
    <n v="0"/>
    <n v="0"/>
    <n v="0"/>
    <n v="37203"/>
    <n v="0"/>
    <n v="30"/>
    <n v="0"/>
    <n v="0"/>
    <n v="0"/>
    <n v="55872"/>
    <n v="0"/>
    <n v="0"/>
    <n v="3910"/>
    <n v="0"/>
    <n v="0"/>
    <n v="0"/>
    <n v="3910"/>
    <n v="0"/>
    <n v="7352"/>
    <n v="7352"/>
    <n v="0"/>
    <n v="0"/>
    <n v="0"/>
    <n v="0"/>
    <n v="0"/>
    <n v="0"/>
    <n v="0"/>
    <n v="0"/>
    <n v="0"/>
    <n v="0"/>
    <n v="0"/>
    <n v="0"/>
    <x v="2"/>
  </r>
  <r>
    <s v="销售一部河北省"/>
    <x v="1"/>
    <s v="华北大区"/>
    <x v="9"/>
    <n v="0"/>
    <n v="0"/>
    <n v="36"/>
    <n v="38924"/>
    <n v="0"/>
    <n v="0"/>
    <n v="0"/>
    <n v="0"/>
    <n v="0"/>
    <n v="58422"/>
    <n v="0"/>
    <n v="0"/>
    <n v="10"/>
    <n v="0"/>
    <n v="0"/>
    <n v="0"/>
    <n v="10"/>
    <n v="0"/>
    <n v="510"/>
    <n v="510"/>
    <n v="870"/>
    <n v="0"/>
    <n v="0"/>
    <n v="870"/>
    <n v="0"/>
    <n v="0"/>
    <n v="0"/>
    <n v="0"/>
    <n v="0"/>
    <n v="0"/>
    <n v="0"/>
    <n v="0"/>
    <x v="2"/>
  </r>
  <r>
    <s v="销售一部黑龙江省"/>
    <x v="1"/>
    <s v="华北大区"/>
    <x v="12"/>
    <n v="0"/>
    <n v="0"/>
    <n v="284"/>
    <n v="7660"/>
    <n v="0"/>
    <n v="4260"/>
    <n v="0"/>
    <n v="1824"/>
    <n v="0"/>
    <n v="28199"/>
    <n v="0"/>
    <n v="0"/>
    <n v="0"/>
    <n v="0"/>
    <n v="0"/>
    <n v="0"/>
    <n v="0"/>
    <n v="0"/>
    <n v="0"/>
    <n v="0"/>
    <n v="520"/>
    <n v="0"/>
    <n v="0"/>
    <n v="520"/>
    <n v="0"/>
    <n v="0"/>
    <n v="0"/>
    <n v="0"/>
    <n v="0"/>
    <n v="0"/>
    <n v="0"/>
    <n v="0"/>
    <x v="2"/>
  </r>
  <r>
    <s v="销售一部吉林省"/>
    <x v="1"/>
    <s v="华北大区"/>
    <x v="14"/>
    <n v="0"/>
    <n v="0"/>
    <n v="42"/>
    <n v="0"/>
    <n v="0"/>
    <n v="300"/>
    <n v="0"/>
    <n v="5939"/>
    <n v="0"/>
    <n v="22988.25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2"/>
  </r>
  <r>
    <s v="销售一部辽宁省"/>
    <x v="1"/>
    <s v="华北大区"/>
    <x v="13"/>
    <n v="0"/>
    <n v="0"/>
    <n v="281"/>
    <n v="2310"/>
    <n v="0"/>
    <n v="-250"/>
    <n v="0"/>
    <n v="2976"/>
    <n v="0"/>
    <n v="14343.5"/>
    <n v="0"/>
    <n v="0"/>
    <n v="0"/>
    <n v="0"/>
    <n v="0"/>
    <n v="0"/>
    <n v="0"/>
    <n v="0"/>
    <n v="0"/>
    <n v="0"/>
    <n v="280"/>
    <n v="0"/>
    <n v="0"/>
    <n v="280"/>
    <n v="0"/>
    <n v="0"/>
    <n v="0"/>
    <n v="0"/>
    <n v="0"/>
    <n v="0"/>
    <n v="0"/>
    <n v="0"/>
    <x v="2"/>
  </r>
  <r>
    <s v="销售一部山东省"/>
    <x v="1"/>
    <s v="华北大区"/>
    <x v="1"/>
    <n v="0"/>
    <n v="0"/>
    <n v="15381"/>
    <n v="12220"/>
    <n v="0"/>
    <n v="0"/>
    <n v="0"/>
    <n v="0"/>
    <n v="0"/>
    <n v="33711"/>
    <n v="0"/>
    <n v="0"/>
    <n v="0"/>
    <n v="0"/>
    <n v="0"/>
    <n v="0"/>
    <n v="0"/>
    <n v="0"/>
    <n v="0"/>
    <n v="0"/>
    <n v="570"/>
    <n v="0"/>
    <n v="0"/>
    <n v="570"/>
    <n v="0"/>
    <n v="0"/>
    <n v="0"/>
    <n v="0"/>
    <n v="0"/>
    <n v="0"/>
    <n v="0"/>
    <n v="0"/>
    <x v="2"/>
  </r>
  <r>
    <s v="销售一部山西省"/>
    <x v="1"/>
    <s v="华北大区"/>
    <x v="10"/>
    <n v="0"/>
    <n v="0"/>
    <n v="0"/>
    <n v="6383"/>
    <n v="0"/>
    <n v="0"/>
    <n v="0"/>
    <n v="0"/>
    <n v="0"/>
    <n v="9574.5"/>
    <n v="0"/>
    <n v="0"/>
    <n v="0"/>
    <n v="0"/>
    <n v="0"/>
    <n v="0"/>
    <n v="0"/>
    <n v="0"/>
    <n v="0"/>
    <n v="0"/>
    <n v="30"/>
    <n v="0"/>
    <n v="0"/>
    <n v="30"/>
    <n v="0"/>
    <n v="0"/>
    <n v="0"/>
    <n v="0"/>
    <n v="0"/>
    <n v="0"/>
    <n v="0"/>
    <n v="0"/>
    <x v="2"/>
  </r>
  <r>
    <s v="销售一部天津市"/>
    <x v="1"/>
    <s v="华北大区"/>
    <x v="11"/>
    <n v="0"/>
    <n v="0"/>
    <n v="1"/>
    <n v="5413"/>
    <n v="0"/>
    <n v="3500"/>
    <n v="0"/>
    <n v="2036"/>
    <n v="0"/>
    <n v="23630.5"/>
    <n v="0"/>
    <n v="0"/>
    <n v="0"/>
    <n v="0"/>
    <n v="0"/>
    <n v="0"/>
    <n v="0"/>
    <n v="0"/>
    <n v="0"/>
    <n v="0"/>
    <n v="180"/>
    <n v="0"/>
    <n v="0"/>
    <n v="180"/>
    <n v="0"/>
    <n v="0"/>
    <n v="0"/>
    <n v="0"/>
    <n v="0"/>
    <n v="0"/>
    <n v="0"/>
    <n v="0"/>
    <x v="2"/>
  </r>
  <r>
    <s v="销售一部安徽省"/>
    <x v="1"/>
    <s v="华中大区"/>
    <x v="7"/>
    <n v="0"/>
    <n v="0"/>
    <n v="260"/>
    <n v="25080"/>
    <n v="0"/>
    <n v="0"/>
    <n v="0"/>
    <n v="0"/>
    <n v="0"/>
    <n v="37880"/>
    <n v="0"/>
    <n v="0"/>
    <n v="0"/>
    <n v="0"/>
    <n v="0"/>
    <n v="0"/>
    <n v="0"/>
    <n v="0"/>
    <n v="0"/>
    <n v="0"/>
    <n v="536"/>
    <n v="0"/>
    <n v="0"/>
    <n v="536"/>
    <n v="0"/>
    <n v="0"/>
    <n v="0"/>
    <n v="0"/>
    <n v="0"/>
    <n v="0"/>
    <n v="0"/>
    <n v="0"/>
    <x v="2"/>
  </r>
  <r>
    <s v="销售一部湖北省"/>
    <x v="1"/>
    <s v="华中大区"/>
    <x v="16"/>
    <n v="0"/>
    <n v="0"/>
    <n v="46872"/>
    <n v="0"/>
    <n v="0"/>
    <n v="0"/>
    <n v="0"/>
    <n v="0"/>
    <n v="0"/>
    <n v="46872"/>
    <n v="0"/>
    <n v="0"/>
    <n v="621"/>
    <n v="0"/>
    <n v="0"/>
    <n v="0"/>
    <n v="621"/>
    <n v="0"/>
    <n v="0"/>
    <n v="0"/>
    <n v="576"/>
    <n v="0"/>
    <n v="0"/>
    <n v="576"/>
    <n v="0"/>
    <n v="0"/>
    <n v="0"/>
    <n v="0"/>
    <n v="0"/>
    <n v="0"/>
    <n v="0"/>
    <n v="0"/>
    <x v="2"/>
  </r>
  <r>
    <s v="销售一部江西省"/>
    <x v="1"/>
    <s v="华中大区"/>
    <x v="8"/>
    <n v="0"/>
    <n v="0"/>
    <n v="14"/>
    <n v="3760"/>
    <n v="0"/>
    <n v="360"/>
    <n v="0"/>
    <n v="4926"/>
    <n v="0"/>
    <n v="24936.5"/>
    <n v="0"/>
    <n v="0"/>
    <n v="0"/>
    <n v="0"/>
    <n v="0"/>
    <n v="0"/>
    <n v="0"/>
    <n v="0"/>
    <n v="0"/>
    <n v="0"/>
    <n v="100"/>
    <n v="0"/>
    <n v="0"/>
    <n v="100"/>
    <n v="0"/>
    <n v="0"/>
    <n v="0"/>
    <n v="0"/>
    <n v="0"/>
    <n v="0"/>
    <n v="0"/>
    <n v="0"/>
    <x v="2"/>
  </r>
  <r>
    <s v="销售一部江苏省"/>
    <x v="1"/>
    <s v="华中大区"/>
    <x v="0"/>
    <n v="0"/>
    <n v="0"/>
    <n v="172"/>
    <n v="34550"/>
    <n v="0"/>
    <n v="0"/>
    <n v="0"/>
    <n v="5293"/>
    <n v="0"/>
    <n v="71845.75"/>
    <n v="0"/>
    <n v="0"/>
    <n v="0"/>
    <n v="0"/>
    <n v="0"/>
    <n v="0"/>
    <n v="0"/>
    <n v="0"/>
    <n v="0"/>
    <n v="0"/>
    <n v="280"/>
    <n v="0"/>
    <n v="0"/>
    <n v="280"/>
    <n v="0"/>
    <n v="0"/>
    <n v="0"/>
    <n v="0"/>
    <n v="0"/>
    <n v="0"/>
    <n v="0"/>
    <n v="0"/>
    <x v="2"/>
  </r>
  <r>
    <s v="销售一部四川省"/>
    <x v="1"/>
    <s v="西南大区"/>
    <x v="18"/>
    <n v="0"/>
    <n v="0"/>
    <n v="6870"/>
    <n v="2760"/>
    <n v="0"/>
    <n v="0"/>
    <n v="0"/>
    <n v="0"/>
    <n v="0"/>
    <n v="11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销售一部云南省"/>
    <x v="1"/>
    <s v="西南大区"/>
    <x v="17"/>
    <n v="0"/>
    <n v="0"/>
    <n v="22"/>
    <n v="8284"/>
    <n v="0"/>
    <n v="0"/>
    <n v="0"/>
    <n v="5732"/>
    <n v="0"/>
    <n v="33943"/>
    <n v="0"/>
    <n v="0"/>
    <n v="0"/>
    <n v="0"/>
    <n v="0"/>
    <n v="0"/>
    <n v="0"/>
    <n v="0"/>
    <n v="280"/>
    <n v="280"/>
    <n v="920"/>
    <n v="0"/>
    <n v="0"/>
    <n v="920"/>
    <n v="0"/>
    <n v="0"/>
    <n v="0"/>
    <n v="0"/>
    <n v="0"/>
    <n v="0"/>
    <n v="0"/>
    <n v="0"/>
    <x v="2"/>
  </r>
  <r>
    <s v="销售一部重庆市"/>
    <x v="1"/>
    <s v="西南大区"/>
    <x v="19"/>
    <n v="0"/>
    <n v="0"/>
    <n v="95"/>
    <n v="6295"/>
    <n v="0"/>
    <n v="8820"/>
    <n v="0"/>
    <n v="1008"/>
    <n v="0"/>
    <n v="33162.5"/>
    <n v="0"/>
    <n v="0"/>
    <n v="0"/>
    <n v="0"/>
    <n v="0"/>
    <n v="0"/>
    <n v="0"/>
    <n v="0"/>
    <n v="0"/>
    <n v="0"/>
    <n v="216"/>
    <n v="0"/>
    <n v="0"/>
    <n v="216"/>
    <n v="0"/>
    <n v="0"/>
    <n v="0"/>
    <n v="0"/>
    <n v="0"/>
    <n v="0"/>
    <n v="0"/>
    <n v="0"/>
    <x v="2"/>
  </r>
  <r>
    <s v="销售二部北京市"/>
    <x v="2"/>
    <s v="销售二部"/>
    <x v="23"/>
    <n v="0"/>
    <n v="0"/>
    <n v="12"/>
    <n v="25240"/>
    <n v="0"/>
    <n v="0"/>
    <n v="0"/>
    <n v="121"/>
    <n v="49449"/>
    <n v="409193.25"/>
    <n v="0"/>
    <n v="0"/>
    <n v="0"/>
    <n v="2604"/>
    <n v="0"/>
    <n v="8942"/>
    <n v="25610"/>
    <n v="0"/>
    <n v="41683"/>
    <n v="41683"/>
    <n v="680"/>
    <n v="0"/>
    <n v="0"/>
    <n v="680"/>
    <n v="0"/>
    <n v="717"/>
    <n v="0"/>
    <n v="0"/>
    <n v="717"/>
    <n v="0"/>
    <n v="0"/>
    <n v="0"/>
    <x v="2"/>
  </r>
  <r>
    <s v="销售三部福建省"/>
    <x v="3"/>
    <s v="销售三部"/>
    <x v="24"/>
    <n v="0"/>
    <n v="50"/>
    <n v="0"/>
    <n v="43279"/>
    <n v="0"/>
    <n v="0"/>
    <n v="0"/>
    <n v="0"/>
    <n v="0"/>
    <n v="64956"/>
    <n v="0"/>
    <n v="0"/>
    <n v="0"/>
    <n v="0"/>
    <n v="0"/>
    <n v="0"/>
    <n v="0"/>
    <n v="0"/>
    <n v="0"/>
    <n v="0"/>
    <n v="330"/>
    <n v="0"/>
    <n v="0"/>
    <n v="330"/>
    <n v="0"/>
    <n v="0"/>
    <n v="0"/>
    <n v="0"/>
    <n v="0"/>
    <n v="0"/>
    <n v="0"/>
    <n v="0"/>
    <x v="2"/>
  </r>
  <r>
    <s v="销售三部浙江省"/>
    <x v="3"/>
    <s v="销售三部"/>
    <x v="25"/>
    <n v="50"/>
    <n v="510"/>
    <n v="402336"/>
    <n v="5182"/>
    <n v="0"/>
    <n v="0"/>
    <n v="0"/>
    <n v="0"/>
    <n v="0"/>
    <n v="410516.5"/>
    <n v="0"/>
    <n v="0"/>
    <n v="166"/>
    <n v="0"/>
    <n v="127101"/>
    <n v="0"/>
    <n v="190817.5"/>
    <n v="0"/>
    <n v="28388"/>
    <n v="28388"/>
    <n v="34683"/>
    <n v="0"/>
    <n v="0"/>
    <n v="34683"/>
    <n v="0"/>
    <n v="340"/>
    <n v="0"/>
    <n v="0"/>
    <n v="340"/>
    <n v="0"/>
    <n v="0"/>
    <n v="0"/>
    <x v="2"/>
  </r>
  <r>
    <s v="销售四部广东省"/>
    <x v="4"/>
    <s v="销售四部"/>
    <x v="26"/>
    <n v="0"/>
    <n v="0"/>
    <n v="2953"/>
    <n v="292008"/>
    <n v="0"/>
    <n v="0"/>
    <n v="0"/>
    <n v="0"/>
    <n v="0"/>
    <n v="440965"/>
    <n v="0"/>
    <n v="0"/>
    <n v="2426"/>
    <n v="0"/>
    <n v="50870"/>
    <n v="3520"/>
    <n v="87531"/>
    <n v="0"/>
    <n v="52140"/>
    <n v="52140"/>
    <n v="3148"/>
    <n v="0"/>
    <n v="50"/>
    <n v="3248"/>
    <n v="0"/>
    <n v="490"/>
    <n v="0"/>
    <n v="0"/>
    <n v="490"/>
    <n v="0"/>
    <n v="0"/>
    <n v="0"/>
    <x v="2"/>
  </r>
  <r>
    <s v="销售四部海南省"/>
    <x v="4"/>
    <s v="销售四部"/>
    <x v="27"/>
    <n v="0"/>
    <n v="0"/>
    <n v="5"/>
    <n v="15477"/>
    <n v="0"/>
    <n v="0"/>
    <n v="0"/>
    <n v="0"/>
    <n v="0"/>
    <n v="23220.5"/>
    <n v="0"/>
    <n v="0"/>
    <n v="8602"/>
    <n v="0"/>
    <n v="0"/>
    <n v="0"/>
    <n v="8602"/>
    <n v="0"/>
    <n v="3150"/>
    <n v="3150"/>
    <n v="20"/>
    <n v="0"/>
    <n v="0"/>
    <n v="20"/>
    <n v="0"/>
    <n v="0"/>
    <n v="0"/>
    <n v="0"/>
    <n v="0"/>
    <n v="0"/>
    <n v="0"/>
    <n v="0"/>
    <x v="2"/>
  </r>
  <r>
    <s v="销售五部甘肃省"/>
    <x v="5"/>
    <s v="销售五部"/>
    <x v="28"/>
    <n v="0"/>
    <n v="0"/>
    <n v="14099"/>
    <n v="34052"/>
    <n v="0"/>
    <n v="0"/>
    <n v="0"/>
    <n v="0"/>
    <n v="0"/>
    <n v="65177"/>
    <n v="0"/>
    <n v="0"/>
    <n v="50"/>
    <n v="0"/>
    <n v="0"/>
    <n v="0"/>
    <n v="50"/>
    <n v="0"/>
    <n v="2160"/>
    <n v="2160"/>
    <n v="470"/>
    <n v="0"/>
    <n v="0"/>
    <n v="470"/>
    <n v="0"/>
    <n v="180"/>
    <n v="0"/>
    <n v="0"/>
    <n v="180"/>
    <n v="0"/>
    <n v="0"/>
    <n v="0"/>
    <x v="2"/>
  </r>
  <r>
    <s v="销售五部河南省"/>
    <x v="5"/>
    <s v="销售五部"/>
    <x v="29"/>
    <n v="0"/>
    <n v="0"/>
    <n v="8312"/>
    <n v="242520"/>
    <n v="0"/>
    <n v="0"/>
    <n v="0"/>
    <n v="0"/>
    <n v="0"/>
    <n v="372092"/>
    <n v="0"/>
    <n v="0"/>
    <n v="2669"/>
    <n v="0"/>
    <n v="0"/>
    <n v="0"/>
    <n v="2669"/>
    <n v="4447"/>
    <n v="22735"/>
    <n v="24958.5"/>
    <n v="2705"/>
    <n v="0"/>
    <n v="0"/>
    <n v="2705"/>
    <n v="0"/>
    <n v="780"/>
    <n v="0"/>
    <n v="0"/>
    <n v="780"/>
    <n v="0"/>
    <n v="0"/>
    <n v="0"/>
    <x v="2"/>
  </r>
  <r>
    <s v="销售五部陕西省"/>
    <x v="5"/>
    <s v="销售五部"/>
    <x v="2"/>
    <n v="0"/>
    <n v="0"/>
    <n v="438"/>
    <n v="43050"/>
    <n v="0"/>
    <n v="10800"/>
    <n v="0"/>
    <n v="144"/>
    <n v="0"/>
    <n v="89853"/>
    <n v="0"/>
    <n v="0"/>
    <n v="170"/>
    <n v="0"/>
    <n v="0"/>
    <n v="0"/>
    <n v="170"/>
    <n v="0"/>
    <n v="260"/>
    <n v="260"/>
    <n v="185"/>
    <n v="0"/>
    <n v="0"/>
    <n v="185"/>
    <n v="0"/>
    <n v="0"/>
    <n v="0"/>
    <n v="0"/>
    <n v="0"/>
    <n v="0"/>
    <n v="0"/>
    <n v="0"/>
    <x v="2"/>
  </r>
  <r>
    <s v="OTC浙江省"/>
    <x v="6"/>
    <m/>
    <x v="25"/>
    <n v="0"/>
    <n v="103345"/>
    <n v="0"/>
    <n v="0"/>
    <n v="0"/>
    <n v="0"/>
    <n v="0"/>
    <n v="0"/>
    <n v="0"/>
    <n v="77508.75"/>
    <n v="0"/>
    <n v="40"/>
    <n v="1618"/>
    <n v="0"/>
    <n v="13625"/>
    <n v="0"/>
    <n v="22085.5"/>
    <n v="0"/>
    <n v="0"/>
    <n v="0"/>
    <n v="0"/>
    <n v="0"/>
    <n v="0"/>
    <n v="0"/>
    <n v="0"/>
    <n v="990"/>
    <n v="0"/>
    <n v="0"/>
    <n v="990"/>
    <n v="0"/>
    <n v="0"/>
    <n v="0"/>
    <x v="2"/>
  </r>
  <r>
    <s v="OTC安徽省"/>
    <x v="6"/>
    <m/>
    <x v="7"/>
    <n v="0"/>
    <n v="2206"/>
    <n v="0"/>
    <n v="0"/>
    <n v="0"/>
    <n v="0"/>
    <n v="0"/>
    <n v="0"/>
    <n v="0"/>
    <n v="165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江西省"/>
    <x v="6"/>
    <m/>
    <x v="8"/>
    <n v="0"/>
    <n v="15245"/>
    <n v="0"/>
    <n v="0"/>
    <n v="0"/>
    <n v="0"/>
    <n v="0"/>
    <n v="0"/>
    <n v="0"/>
    <n v="11433.75"/>
    <n v="0"/>
    <n v="7724"/>
    <n v="0"/>
    <n v="0"/>
    <n v="0"/>
    <n v="0"/>
    <n v="5793"/>
    <n v="0"/>
    <n v="0"/>
    <n v="0"/>
    <n v="0"/>
    <n v="0"/>
    <n v="0"/>
    <n v="0"/>
    <n v="0"/>
    <n v="0"/>
    <n v="200"/>
    <n v="0"/>
    <n v="234"/>
    <n v="0"/>
    <n v="0"/>
    <n v="0"/>
    <x v="2"/>
  </r>
  <r>
    <s v="OTC江苏省"/>
    <x v="6"/>
    <m/>
    <x v="0"/>
    <n v="0"/>
    <n v="9912"/>
    <n v="0"/>
    <n v="0"/>
    <n v="0"/>
    <n v="0"/>
    <n v="0"/>
    <n v="0"/>
    <n v="0"/>
    <n v="74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山东省"/>
    <x v="6"/>
    <m/>
    <x v="1"/>
    <n v="0"/>
    <n v="19541"/>
    <n v="315"/>
    <n v="0"/>
    <n v="0"/>
    <n v="0"/>
    <n v="0"/>
    <n v="0"/>
    <n v="0"/>
    <n v="14970.75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70.199999999999989"/>
    <n v="0"/>
    <n v="0"/>
    <n v="0"/>
    <x v="2"/>
  </r>
  <r>
    <s v="OTC福建省"/>
    <x v="6"/>
    <m/>
    <x v="24"/>
    <n v="0"/>
    <n v="6618"/>
    <n v="0"/>
    <n v="0"/>
    <n v="0"/>
    <n v="0"/>
    <n v="3024"/>
    <n v="0"/>
    <n v="0"/>
    <n v="140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广东省"/>
    <x v="6"/>
    <m/>
    <x v="26"/>
    <n v="0"/>
    <n v="46079"/>
    <n v="0"/>
    <n v="0"/>
    <n v="0"/>
    <n v="0"/>
    <n v="0"/>
    <n v="0"/>
    <n v="0"/>
    <n v="34559.25"/>
    <n v="0"/>
    <n v="396"/>
    <n v="0"/>
    <n v="0"/>
    <n v="0"/>
    <n v="0"/>
    <n v="297"/>
    <n v="0"/>
    <n v="0"/>
    <n v="0"/>
    <n v="0"/>
    <n v="0"/>
    <n v="0"/>
    <n v="0"/>
    <n v="0"/>
    <n v="0"/>
    <n v="10"/>
    <n v="0"/>
    <n v="11.7"/>
    <n v="0"/>
    <n v="0"/>
    <n v="0"/>
    <x v="2"/>
  </r>
  <r>
    <s v="OTC海南省"/>
    <x v="6"/>
    <m/>
    <x v="27"/>
    <n v="0"/>
    <n v="1020"/>
    <n v="0"/>
    <n v="0"/>
    <n v="0"/>
    <n v="0"/>
    <n v="0"/>
    <n v="0"/>
    <n v="0"/>
    <n v="7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湖南省"/>
    <x v="6"/>
    <m/>
    <x v="22"/>
    <n v="0"/>
    <n v="4592"/>
    <n v="0"/>
    <n v="0"/>
    <n v="0"/>
    <n v="0"/>
    <n v="19776"/>
    <n v="0"/>
    <n v="0"/>
    <n v="62772"/>
    <n v="0"/>
    <n v="11127"/>
    <n v="0"/>
    <n v="0"/>
    <n v="0"/>
    <n v="0"/>
    <n v="8345.25"/>
    <n v="0"/>
    <n v="0"/>
    <n v="0"/>
    <n v="0"/>
    <n v="0"/>
    <n v="0"/>
    <n v="0"/>
    <n v="0"/>
    <n v="0"/>
    <n v="0"/>
    <n v="0"/>
    <n v="0"/>
    <n v="0"/>
    <n v="0"/>
    <n v="0"/>
    <x v="2"/>
  </r>
  <r>
    <s v="OTC湖北省"/>
    <x v="6"/>
    <m/>
    <x v="16"/>
    <n v="0"/>
    <n v="9030"/>
    <n v="0"/>
    <n v="0"/>
    <n v="0"/>
    <n v="0"/>
    <n v="0"/>
    <n v="0"/>
    <n v="0"/>
    <n v="6772.5"/>
    <n v="0"/>
    <n v="281"/>
    <n v="0"/>
    <n v="0"/>
    <n v="0"/>
    <n v="0"/>
    <n v="210.75"/>
    <n v="0"/>
    <n v="0"/>
    <n v="0"/>
    <n v="0"/>
    <n v="0"/>
    <n v="0"/>
    <n v="0"/>
    <n v="0"/>
    <n v="0"/>
    <n v="0"/>
    <n v="0"/>
    <n v="0"/>
    <n v="0"/>
    <n v="0"/>
    <n v="0"/>
    <x v="2"/>
  </r>
  <r>
    <s v="OTC广西壮族自治区"/>
    <x v="6"/>
    <m/>
    <x v="21"/>
    <n v="0"/>
    <n v="4495"/>
    <n v="0"/>
    <n v="0"/>
    <n v="0"/>
    <n v="0"/>
    <n v="0"/>
    <n v="0"/>
    <n v="0"/>
    <n v="337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贵州省"/>
    <x v="6"/>
    <m/>
    <x v="20"/>
    <n v="0"/>
    <n v="1262"/>
    <n v="0"/>
    <n v="0"/>
    <n v="0"/>
    <n v="0"/>
    <n v="0"/>
    <n v="0"/>
    <n v="0"/>
    <n v="94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云南省"/>
    <x v="6"/>
    <m/>
    <x v="17"/>
    <n v="0"/>
    <n v="9158"/>
    <n v="0"/>
    <n v="3756"/>
    <n v="0"/>
    <n v="0"/>
    <n v="0"/>
    <n v="479"/>
    <n v="0"/>
    <n v="1429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陕西省"/>
    <x v="6"/>
    <m/>
    <x v="2"/>
    <n v="0"/>
    <n v="27072"/>
    <n v="0"/>
    <n v="0"/>
    <n v="0"/>
    <n v="0"/>
    <n v="6715"/>
    <n v="0"/>
    <n v="0"/>
    <n v="40449"/>
    <n v="0"/>
    <n v="448"/>
    <n v="0"/>
    <n v="0"/>
    <n v="0"/>
    <n v="0"/>
    <n v="336"/>
    <n v="0"/>
    <n v="0"/>
    <n v="0"/>
    <n v="0"/>
    <n v="0"/>
    <n v="0"/>
    <n v="0"/>
    <n v="0"/>
    <n v="0"/>
    <n v="2400"/>
    <n v="0"/>
    <n v="2808"/>
    <n v="0"/>
    <n v="0"/>
    <n v="0"/>
    <x v="2"/>
  </r>
  <r>
    <s v="OTC四川省"/>
    <x v="6"/>
    <m/>
    <x v="18"/>
    <n v="0"/>
    <n v="4610"/>
    <n v="0"/>
    <n v="0"/>
    <n v="0"/>
    <n v="0"/>
    <n v="0"/>
    <n v="0"/>
    <n v="0"/>
    <n v="34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重庆市"/>
    <x v="6"/>
    <m/>
    <x v="19"/>
    <n v="0"/>
    <n v="1430"/>
    <n v="0"/>
    <n v="0"/>
    <n v="0"/>
    <n v="0"/>
    <n v="0"/>
    <n v="0"/>
    <n v="0"/>
    <n v="107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甘肃省"/>
    <x v="6"/>
    <m/>
    <x v="28"/>
    <n v="0"/>
    <n v="4510"/>
    <n v="0"/>
    <n v="0"/>
    <n v="0"/>
    <n v="0"/>
    <n v="0"/>
    <n v="0"/>
    <n v="0"/>
    <n v="3382.5"/>
    <n v="0"/>
    <n v="264"/>
    <n v="0"/>
    <n v="0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x v="2"/>
  </r>
  <r>
    <s v="OTC北京市"/>
    <x v="6"/>
    <m/>
    <x v="23"/>
    <n v="0"/>
    <n v="7248"/>
    <n v="0"/>
    <n v="0"/>
    <n v="0"/>
    <n v="0"/>
    <n v="0"/>
    <n v="0"/>
    <n v="0"/>
    <n v="5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河北省"/>
    <x v="6"/>
    <m/>
    <x v="9"/>
    <n v="0"/>
    <n v="28014"/>
    <n v="0"/>
    <n v="0"/>
    <n v="0"/>
    <n v="0"/>
    <n v="2500"/>
    <n v="0"/>
    <n v="0"/>
    <n v="28510.5"/>
    <n v="0"/>
    <n v="4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x v="2"/>
  </r>
  <r>
    <s v="OTC天津市"/>
    <x v="6"/>
    <m/>
    <x v="11"/>
    <n v="0"/>
    <n v="1905"/>
    <n v="201"/>
    <n v="0"/>
    <n v="0"/>
    <n v="0"/>
    <n v="0"/>
    <n v="0"/>
    <n v="0"/>
    <n v="162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河南省"/>
    <x v="6"/>
    <m/>
    <x v="29"/>
    <n v="0"/>
    <n v="49299"/>
    <n v="0"/>
    <n v="0"/>
    <n v="0"/>
    <n v="0"/>
    <n v="1200"/>
    <n v="0"/>
    <n v="0"/>
    <n v="40574.25"/>
    <n v="0"/>
    <n v="30"/>
    <n v="0"/>
    <n v="0"/>
    <n v="0"/>
    <n v="0"/>
    <n v="22.5"/>
    <n v="0"/>
    <n v="0"/>
    <n v="0"/>
    <n v="0"/>
    <n v="0"/>
    <n v="0"/>
    <n v="0"/>
    <n v="0"/>
    <n v="0"/>
    <n v="430"/>
    <n v="0"/>
    <n v="503.09999999999997"/>
    <n v="0"/>
    <n v="0"/>
    <n v="0"/>
    <x v="2"/>
  </r>
  <r>
    <s v="OTC山西省"/>
    <x v="6"/>
    <m/>
    <x v="10"/>
    <n v="0"/>
    <n v="14317"/>
    <n v="0"/>
    <n v="0"/>
    <n v="0"/>
    <n v="0"/>
    <n v="0"/>
    <n v="0"/>
    <n v="0"/>
    <n v="10737.75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17"/>
    <n v="0"/>
    <n v="0"/>
    <n v="0"/>
    <x v="2"/>
  </r>
  <r>
    <s v="OTC黑龙江省"/>
    <x v="6"/>
    <m/>
    <x v="12"/>
    <n v="0"/>
    <n v="6026"/>
    <n v="0"/>
    <n v="0"/>
    <n v="0"/>
    <n v="0"/>
    <n v="1200"/>
    <n v="0"/>
    <n v="0"/>
    <n v="811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OTC吉林省"/>
    <x v="6"/>
    <m/>
    <x v="14"/>
    <n v="0"/>
    <n v="9082"/>
    <n v="0"/>
    <n v="0"/>
    <n v="0"/>
    <n v="0"/>
    <n v="0"/>
    <n v="0"/>
    <n v="0"/>
    <n v="6811.5"/>
    <n v="0"/>
    <n v="0"/>
    <n v="0"/>
    <n v="0"/>
    <n v="0"/>
    <n v="0"/>
    <n v="0"/>
    <n v="0"/>
    <n v="0"/>
    <n v="0"/>
    <n v="0"/>
    <n v="0"/>
    <n v="0"/>
    <n v="0"/>
    <n v="0"/>
    <n v="0"/>
    <n v="158"/>
    <n v="0"/>
    <n v="184.85999999999999"/>
    <n v="0"/>
    <n v="0"/>
    <n v="0"/>
    <x v="2"/>
  </r>
  <r>
    <s v="OTC辽宁省"/>
    <x v="6"/>
    <m/>
    <x v="13"/>
    <n v="0"/>
    <n v="8486"/>
    <n v="0"/>
    <n v="0"/>
    <n v="0"/>
    <n v="0"/>
    <n v="0"/>
    <n v="0"/>
    <n v="0"/>
    <n v="6364.5"/>
    <n v="0"/>
    <n v="3358"/>
    <n v="0"/>
    <n v="0"/>
    <n v="0"/>
    <n v="0"/>
    <n v="2518.5"/>
    <n v="0"/>
    <n v="0"/>
    <n v="0"/>
    <n v="0"/>
    <n v="0"/>
    <n v="0"/>
    <n v="0"/>
    <n v="0"/>
    <n v="0"/>
    <n v="36"/>
    <n v="0"/>
    <n v="42.12"/>
    <n v="0"/>
    <n v="0"/>
    <n v="0"/>
    <x v="2"/>
  </r>
  <r>
    <s v="电商部电商"/>
    <x v="7"/>
    <s v="电商部"/>
    <x v="30"/>
    <n v="3643"/>
    <n v="12441"/>
    <n v="30009"/>
    <n v="5298"/>
    <n v="1021"/>
    <n v="26283"/>
    <n v="0"/>
    <n v="0"/>
    <n v="571"/>
    <n v="114569.5"/>
    <n v="0"/>
    <n v="123"/>
    <n v="1414"/>
    <n v="0"/>
    <n v="11419"/>
    <n v="0"/>
    <n v="18634.75"/>
    <n v="0"/>
    <n v="10859"/>
    <n v="10859"/>
    <n v="363"/>
    <n v="0"/>
    <n v="0"/>
    <n v="363"/>
    <n v="0"/>
    <n v="0"/>
    <n v="0"/>
    <n v="405"/>
    <n v="538.65"/>
    <n v="0"/>
    <n v="2877"/>
    <n v="5034.75"/>
    <x v="2"/>
  </r>
  <r>
    <s v="上海事业部上海市"/>
    <x v="8"/>
    <s v="上海大包"/>
    <x v="31"/>
    <n v="0"/>
    <n v="0"/>
    <n v="82137.5"/>
    <n v="78444.88"/>
    <n v="0"/>
    <n v="0"/>
    <n v="0"/>
    <n v="0"/>
    <n v="0"/>
    <n v="199804.82"/>
    <n v="3520"/>
    <n v="0"/>
    <n v="56009"/>
    <n v="0"/>
    <n v="1210"/>
    <n v="170"/>
    <n v="60009"/>
    <n v="0"/>
    <n v="46836"/>
    <n v="46836"/>
    <n v="0"/>
    <n v="0"/>
    <n v="0"/>
    <n v="0"/>
    <n v="0"/>
    <n v="1050"/>
    <n v="0"/>
    <n v="0"/>
    <n v="1050"/>
    <n v="0"/>
    <n v="0"/>
    <n v="0"/>
    <x v="2"/>
  </r>
  <r>
    <s v="商务部河南省"/>
    <x v="9"/>
    <s v="商务部"/>
    <x v="29"/>
    <n v="0"/>
    <n v="222"/>
    <n v="0"/>
    <n v="0"/>
    <n v="0"/>
    <n v="0"/>
    <n v="0"/>
    <n v="0"/>
    <n v="0"/>
    <n v="16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陕西省"/>
    <x v="9"/>
    <s v="商务部"/>
    <x v="2"/>
    <n v="0"/>
    <n v="29340"/>
    <n v="716"/>
    <n v="0"/>
    <n v="0"/>
    <n v="0"/>
    <n v="0"/>
    <n v="0"/>
    <n v="0"/>
    <n v="22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湖北省"/>
    <x v="9"/>
    <s v="商务部"/>
    <x v="16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安徽省"/>
    <x v="9"/>
    <s v="商务部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山东省"/>
    <x v="9"/>
    <s v="商务部"/>
    <x v="1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广东省"/>
    <x v="9"/>
    <s v="商务部"/>
    <x v="26"/>
    <n v="0"/>
    <n v="7189"/>
    <n v="0"/>
    <n v="0"/>
    <n v="0"/>
    <n v="0"/>
    <n v="0"/>
    <n v="0"/>
    <n v="0"/>
    <n v="539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江苏省"/>
    <x v="9"/>
    <s v="商务部"/>
    <x v="0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重庆市"/>
    <x v="9"/>
    <s v="商务部"/>
    <x v="19"/>
    <n v="0"/>
    <n v="900"/>
    <n v="0"/>
    <n v="0"/>
    <n v="0"/>
    <n v="0"/>
    <n v="0"/>
    <n v="0"/>
    <n v="0"/>
    <n v="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四川省"/>
    <x v="9"/>
    <s v="商务部"/>
    <x v="18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湖南省"/>
    <x v="9"/>
    <s v="商务部"/>
    <x v="22"/>
    <n v="0"/>
    <n v="4140"/>
    <n v="0"/>
    <n v="0"/>
    <n v="0"/>
    <n v="0"/>
    <n v="0"/>
    <n v="0"/>
    <n v="0"/>
    <n v="3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浙江省"/>
    <x v="9"/>
    <s v="商务部"/>
    <x v="25"/>
    <n v="0"/>
    <n v="4860"/>
    <n v="0"/>
    <n v="0"/>
    <n v="0"/>
    <n v="0"/>
    <n v="0"/>
    <n v="0"/>
    <n v="0"/>
    <n v="3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北京市"/>
    <x v="9"/>
    <s v="商务部"/>
    <x v="23"/>
    <n v="0"/>
    <n v="108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河北省"/>
    <x v="9"/>
    <s v="商务部"/>
    <x v="9"/>
    <n v="0"/>
    <n v="3600"/>
    <n v="0"/>
    <n v="0"/>
    <n v="0"/>
    <n v="0"/>
    <n v="0"/>
    <n v="0"/>
    <n v="0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黑龙江省"/>
    <x v="9"/>
    <s v="商务部"/>
    <x v="12"/>
    <n v="0"/>
    <n v="1800"/>
    <n v="0"/>
    <n v="0"/>
    <n v="0"/>
    <n v="0"/>
    <n v="0"/>
    <n v="0"/>
    <n v="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吉林省"/>
    <x v="9"/>
    <s v="商务部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江西省"/>
    <x v="9"/>
    <s v="商务部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辽宁省"/>
    <x v="9"/>
    <s v="商务部"/>
    <x v="13"/>
    <n v="0"/>
    <n v="2700"/>
    <n v="0"/>
    <n v="0"/>
    <n v="0"/>
    <n v="0"/>
    <n v="0"/>
    <n v="0"/>
    <n v="0"/>
    <n v="2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山西省"/>
    <x v="9"/>
    <s v="商务部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云南省"/>
    <x v="9"/>
    <s v="商务部"/>
    <x v="17"/>
    <n v="0"/>
    <n v="72178"/>
    <n v="0"/>
    <n v="0"/>
    <n v="0"/>
    <n v="0"/>
    <n v="0"/>
    <n v="0"/>
    <n v="0"/>
    <n v="5413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商务部福建省"/>
    <x v="9"/>
    <s v="商务部"/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s v="营销总部浙江省"/>
    <x v="10"/>
    <s v="营销总部"/>
    <x v="25"/>
    <n v="3"/>
    <n v="4586"/>
    <n v="94316"/>
    <n v="-6"/>
    <n v="0"/>
    <n v="-2"/>
    <n v="0"/>
    <n v="0"/>
    <n v="36"/>
    <n v="98013.5"/>
    <n v="-11"/>
    <n v="8"/>
    <n v="19392"/>
    <n v="160"/>
    <n v="1200"/>
    <n v="-3"/>
    <n v="21385"/>
    <n v="80"/>
    <n v="1437"/>
    <n v="1477"/>
    <n v="-42"/>
    <n v="2320"/>
    <n v="1040"/>
    <n v="5518"/>
    <n v="0"/>
    <n v="71"/>
    <n v="10"/>
    <n v="0"/>
    <n v="82.7"/>
    <n v="0"/>
    <n v="0"/>
    <n v="0"/>
    <x v="2"/>
  </r>
  <r>
    <s v="代理事业部江苏省"/>
    <x v="0"/>
    <s v="招商1区"/>
    <x v="0"/>
    <n v="0"/>
    <n v="0"/>
    <n v="4299"/>
    <n v="91144"/>
    <n v="0"/>
    <n v="0"/>
    <n v="0"/>
    <n v="6176"/>
    <n v="0"/>
    <n v="164175"/>
    <n v="0"/>
    <n v="0"/>
    <n v="0"/>
    <n v="1190"/>
    <n v="11675"/>
    <n v="29152"/>
    <n v="91880"/>
    <n v="0"/>
    <n v="23189"/>
    <n v="23189"/>
    <n v="-30"/>
    <n v="0"/>
    <n v="0"/>
    <n v="-30"/>
    <n v="0"/>
    <n v="1016"/>
    <n v="0"/>
    <n v="0"/>
    <n v="1016"/>
    <n v="0"/>
    <n v="0"/>
    <n v="0"/>
    <x v="3"/>
  </r>
  <r>
    <s v="代理事业部山东省"/>
    <x v="0"/>
    <s v="招商2区"/>
    <x v="1"/>
    <n v="0"/>
    <n v="0"/>
    <n v="74425"/>
    <n v="4698"/>
    <n v="0"/>
    <n v="0"/>
    <n v="0"/>
    <n v="0"/>
    <n v="0"/>
    <n v="81472"/>
    <n v="0"/>
    <n v="0"/>
    <n v="1050"/>
    <n v="0"/>
    <n v="24690"/>
    <n v="2542"/>
    <n v="44440"/>
    <n v="-208"/>
    <n v="4163"/>
    <n v="4059"/>
    <n v="0"/>
    <n v="0"/>
    <n v="0"/>
    <n v="0"/>
    <n v="0"/>
    <n v="1130"/>
    <n v="0"/>
    <n v="0"/>
    <n v="1130"/>
    <n v="0"/>
    <n v="0"/>
    <n v="0"/>
    <x v="3"/>
  </r>
  <r>
    <s v="代理事业部陕西省"/>
    <x v="0"/>
    <s v="招商2区"/>
    <x v="2"/>
    <n v="0"/>
    <n v="0"/>
    <n v="2275"/>
    <n v="12595"/>
    <n v="0"/>
    <n v="4305"/>
    <n v="0"/>
    <n v="10"/>
    <n v="0"/>
    <n v="30891.25"/>
    <n v="0"/>
    <n v="0"/>
    <n v="40"/>
    <n v="0"/>
    <n v="0"/>
    <n v="0"/>
    <n v="40"/>
    <n v="0"/>
    <n v="5005"/>
    <n v="5005"/>
    <n v="13"/>
    <n v="0"/>
    <n v="0"/>
    <n v="13"/>
    <n v="0"/>
    <n v="200"/>
    <n v="0"/>
    <n v="0"/>
    <n v="200"/>
    <n v="0"/>
    <n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5" rowGrandTotals="0" compact="0" indent="0" compactData="0" showDrill="1" multipleFieldFilters="0">
  <location ref="A3:F77" firstHeaderRow="0" firstDataRow="1" firstDataCol="2" rowPageCount="1" colPageCount="1"/>
  <pivotFields count="38"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multipleItemSelectionAllowed="1" showAll="0">
      <items count="11">
        <item x="1"/>
        <item x="2"/>
        <item x="3"/>
        <item x="4"/>
        <item x="5"/>
        <item x="0"/>
        <item x="6"/>
        <item sd="0" x="7"/>
        <item sd="0" x="10"/>
        <item sd="0" x="9"/>
        <item sd="0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32">
        <item x="7"/>
        <item x="23"/>
        <item x="24"/>
        <item x="28"/>
        <item x="26"/>
        <item x="27"/>
        <item x="9"/>
        <item x="29"/>
        <item x="12"/>
        <item x="16"/>
        <item x="22"/>
        <item x="14"/>
        <item x="0"/>
        <item x="8"/>
        <item x="13"/>
        <item x="1"/>
        <item x="10"/>
        <item x="2"/>
        <item x="18"/>
        <item x="11"/>
        <item x="17"/>
        <item x="25"/>
        <item x="19"/>
        <item x="20"/>
        <item x="4"/>
        <item x="31"/>
        <item x="30"/>
        <item x="21"/>
        <item x="15"/>
        <item x="5"/>
        <item x="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12">
        <item h="1" x="1"/>
        <item x="2"/>
        <item x="3"/>
        <item h="1" x="0"/>
        <item x="4"/>
        <item h="1" x="5"/>
        <item h="1" x="6"/>
        <item h="1" x="7"/>
        <item h="1" x="8"/>
        <item h="1" x="9"/>
        <item h="1" x="10"/>
        <item h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7">
        <item n="自营组" x="3"/>
        <item n="招商组" x="4"/>
        <item x="0"/>
        <item x="1"/>
        <item x="2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74">
    <i>
      <x/>
      <x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2"/>
    </i>
    <i>
      <x v="1"/>
      <x v="1"/>
    </i>
    <i>
      <x v="2"/>
      <x v="2"/>
    </i>
    <i r="1">
      <x v="21"/>
    </i>
    <i>
      <x v="3"/>
      <x v="4"/>
    </i>
    <i r="1">
      <x v="5"/>
    </i>
    <i>
      <x v="4"/>
      <x v="3"/>
    </i>
    <i r="1">
      <x v="7"/>
    </i>
    <i r="1">
      <x v="17"/>
    </i>
    <i>
      <x v="5"/>
      <x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7"/>
    </i>
    <i>
      <x v="7"/>
    </i>
    <i>
      <x v="8"/>
    </i>
    <i>
      <x v="9"/>
    </i>
    <i>
      <x v="10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6"/>
  </pageFields>
  <dataFields count="4">
    <dataField name="求和项:乌灵胶囊" fld="13" baseField="0" baseItem="0"/>
    <dataField name="求和项:百令片" fld="20" baseField="0" baseItem="0"/>
    <dataField name="求和项:灵泽片" fld="23" baseField="0" baseItem="0"/>
    <dataField name="求和项:百令胶囊" fld="32" baseField="0" baseItem="0"/>
  </dataFields>
  <formats count="9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fieldPosition="0"/>
    </format>
    <format dxfId="3">
      <pivotArea dataOnly="0" labelOnly="1" grandRow="1" outline="0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3" type="button" dataOnly="0" labelOnly="1" outline="0" fieldPosition="0"/>
    </format>
    <format dxfId="7">
      <pivotArea dataOnly="0" labelOnly="1" grandRow="1" outline="0" fieldPosition="0"/>
    </format>
    <format dxfId="8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9" cacheId="1" dataOnRows="1" autoFormatId="1" applyNumberFormats="0" applyBorderFormats="0" applyFontFormats="0" applyPatternFormats="0" applyAlignmentFormats="0" applyWidthHeightFormats="1" dataCaption="值" updatedVersion="8" minRefreshableVersion="3" createdVersion="5" rowGrandTotals="0" compact="0" indent="0" compactData="0" showDrill="1" multipleFieldFilters="0">
  <location ref="B3:G27" firstHeaderRow="1" firstDataRow="2" firstDataCol="1" rowPageCount="1" colPageCount="1"/>
  <pivotFields count="3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11">
        <item h="1" x="1"/>
        <item h="1" x="2"/>
        <item h="1" x="3"/>
        <item h="1" x="4"/>
        <item h="1" x="5"/>
        <item x="0"/>
        <item h="1" x="6"/>
        <item h="1" x="7"/>
        <item h="1" x="10"/>
        <item h="1" x="9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7"/>
        <item x="23"/>
        <item x="24"/>
        <item x="28"/>
        <item x="26"/>
        <item x="27"/>
        <item x="9"/>
        <item x="29"/>
        <item x="12"/>
        <item x="16"/>
        <item x="22"/>
        <item x="14"/>
        <item x="0"/>
        <item x="8"/>
        <item x="13"/>
        <item x="1"/>
        <item x="10"/>
        <item x="2"/>
        <item x="18"/>
        <item x="11"/>
        <item x="17"/>
        <item x="25"/>
        <item x="19"/>
        <item x="20"/>
        <item x="4"/>
        <item x="31"/>
        <item x="30"/>
        <item x="21"/>
        <item x="15"/>
        <item x="5"/>
        <item x="3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乌灵胶囊2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百令片2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灵泽片2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聚卡波非钙片2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百令胶囊2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 showAll="0">
      <items count="5">
        <item x="1"/>
        <item x="2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7">
        <item x="3"/>
        <item x="4"/>
        <item h="1" x="0"/>
        <item h="1" x="1"/>
        <item h="1" x="2"/>
        <item h="1"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3">
    <i>
      <x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7"/>
    </i>
    <i>
      <x v="28"/>
    </i>
    <i>
      <x v="29"/>
    </i>
    <i>
      <x v="30"/>
    </i>
    <i>
      <x v="31"/>
    </i>
  </rowItems>
  <colFields count="1">
    <field x="36"/>
  </colFields>
  <colItems count="5">
    <i>
      <x/>
    </i>
    <i>
      <x v="1"/>
    </i>
    <i>
      <x v="2"/>
    </i>
    <i>
      <x v="3"/>
    </i>
    <i t="grand">
      <x/>
    </i>
  </colItems>
  <pageFields count="1">
    <pageField fld="1"/>
  </pageFields>
  <dataFields count="1">
    <dataField name="百令胶囊" fld="29" baseField="0" baseItem="0"/>
  </dataFields>
  <formats count="8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3" type="button" dataOnly="0" labelOnly="1" outline="0" fieldPosition="0"/>
    </format>
    <format dxfId="12">
      <pivotArea dataOnly="0" labelOnly="1" grandRow="1" outline="0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3" type="button" dataOnly="0" labelOnly="1" outline="0" fieldPosition="0"/>
    </format>
    <format dxfId="16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zoomScale="80" zoomScaleNormal="80" workbookViewId="0">
      <pane xSplit="4" ySplit="1" topLeftCell="E2" activePane="bottomRight" state="frozen"/>
      <selection/>
      <selection pane="topRight"/>
      <selection pane="bottomLeft"/>
      <selection pane="bottomRight" activeCell="A37" sqref="A37"/>
    </sheetView>
  </sheetViews>
  <sheetFormatPr defaultColWidth="9" defaultRowHeight="13.5"/>
  <cols>
    <col min="1" max="1" width="13.4333333333333" style="4" customWidth="1"/>
    <col min="2" max="2" width="9.68333333333333" style="4" customWidth="1"/>
    <col min="3" max="3" width="8.43333333333333" style="4" customWidth="1"/>
    <col min="4" max="4" width="7.65" style="4" customWidth="1"/>
    <col min="5" max="5" width="5.625" style="5" customWidth="1"/>
    <col min="6" max="6" width="5.625" style="6" customWidth="1"/>
    <col min="7" max="7" width="7.625" style="7" customWidth="1"/>
    <col min="8" max="8" width="9.375" style="7" customWidth="1"/>
    <col min="9" max="10" width="5.625" style="7" customWidth="1"/>
    <col min="11" max="11" width="7.875" style="7" customWidth="1"/>
    <col min="12" max="13" width="5.625" style="7" customWidth="1"/>
    <col min="14" max="14" width="7.875" style="4" customWidth="1"/>
    <col min="15" max="15" width="5.75" customWidth="1"/>
    <col min="16" max="16" width="5.75" style="8" customWidth="1"/>
    <col min="17" max="20" width="5.75" customWidth="1"/>
    <col min="21" max="21" width="7.25" customWidth="1"/>
    <col min="22" max="23" width="6.25" customWidth="1"/>
    <col min="24" max="24" width="9.125" customWidth="1"/>
    <col min="25" max="27" width="7.375" customWidth="1"/>
    <col min="28" max="28" width="7" customWidth="1"/>
    <col min="29" max="30" width="7.375" customWidth="1"/>
    <col min="31" max="31" width="6.875" customWidth="1"/>
    <col min="32" max="33" width="7.125" customWidth="1"/>
    <col min="34" max="34" width="6.5" customWidth="1"/>
    <col min="35" max="35" width="10.5" customWidth="1"/>
    <col min="36" max="36" width="6.625" customWidth="1"/>
    <col min="37" max="37" width="4.875" customWidth="1"/>
    <col min="38" max="38" width="10.25" style="9" customWidth="1"/>
    <col min="39" max="39" width="5.625" style="8" customWidth="1"/>
    <col min="40" max="40" width="7.625" style="10" customWidth="1"/>
  </cols>
  <sheetData>
    <row r="1" s="3" customFormat="1" ht="30.6" customHeight="1" spans="1:40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4" t="s">
        <v>13</v>
      </c>
      <c r="O1" s="12" t="s">
        <v>14</v>
      </c>
      <c r="P1" s="13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5" t="s">
        <v>36</v>
      </c>
      <c r="AL1" s="16"/>
      <c r="AM1" s="17"/>
      <c r="AN1" s="18"/>
    </row>
    <row r="2" spans="1:40">
      <c r="A2" s="19" t="str">
        <f t="shared" ref="A2:A5" si="0">B2&amp;D2</f>
        <v>销售二部北京市</v>
      </c>
      <c r="B2" s="20" t="s">
        <v>37</v>
      </c>
      <c r="C2" s="20" t="s">
        <v>37</v>
      </c>
      <c r="D2" s="20" t="s">
        <v>38</v>
      </c>
      <c r="E2" s="21"/>
      <c r="F2" s="21"/>
      <c r="G2" s="21">
        <v>22</v>
      </c>
      <c r="H2" s="21">
        <v>11300</v>
      </c>
      <c r="I2" s="21"/>
      <c r="J2" s="21">
        <v>0</v>
      </c>
      <c r="K2" s="21"/>
      <c r="L2" s="21">
        <v>448</v>
      </c>
      <c r="M2" s="21">
        <v>34391</v>
      </c>
      <c r="N2" s="22">
        <f>E2/2+F2*0.75+G2+H2*1.5+I2*2+J2*2.25+K2*3+L2*3.75+M2*7.5</f>
        <v>276584.5</v>
      </c>
      <c r="O2" s="23"/>
      <c r="P2" s="23"/>
      <c r="Q2" s="23">
        <v>0</v>
      </c>
      <c r="R2" s="23">
        <v>1456</v>
      </c>
      <c r="S2" s="23">
        <v>0</v>
      </c>
      <c r="T2" s="23">
        <v>6727</v>
      </c>
      <c r="U2" s="24">
        <f>O2*0.5+P2*0.75+Q2+R2*1.25+S2*1.5+T2*2.5</f>
        <v>18637.5</v>
      </c>
      <c r="V2" s="23">
        <v>0</v>
      </c>
      <c r="W2" s="23">
        <v>26483</v>
      </c>
      <c r="X2" s="24">
        <f>V2/2+W2</f>
        <v>26483</v>
      </c>
      <c r="Y2" s="23">
        <v>505</v>
      </c>
      <c r="Z2" s="23"/>
      <c r="AA2" s="23"/>
      <c r="AB2" s="25">
        <f t="shared" ref="AB2:AB5" si="1">Y2+AA2*2+Z2*1.5</f>
        <v>505</v>
      </c>
      <c r="AC2" s="23">
        <v>0</v>
      </c>
      <c r="AD2" s="23">
        <v>2812</v>
      </c>
      <c r="AE2" s="23"/>
      <c r="AF2" s="23"/>
      <c r="AG2" s="24">
        <f t="shared" ref="AG2:AG5" si="2">AC2*0.67+AD2+AE2*1.17+AF2*1.33</f>
        <v>2812</v>
      </c>
      <c r="AH2" s="23"/>
      <c r="AI2" s="23"/>
      <c r="AJ2" s="24">
        <f t="shared" ref="AJ2:AJ4" si="3">AH2+AI2*1.75</f>
        <v>0</v>
      </c>
      <c r="AK2" s="26" t="s">
        <v>39</v>
      </c>
      <c r="AL2" s="27">
        <f>SUM(N2,U2,X2,AB2,AG2,AJ2)</f>
        <v>325022</v>
      </c>
      <c r="AM2" s="27" t="s">
        <v>40</v>
      </c>
      <c r="AN2" t="s">
        <v>41</v>
      </c>
    </row>
    <row r="3" spans="1:40">
      <c r="A3" s="19" t="str">
        <f t="shared" si="0"/>
        <v>销售五部河南省</v>
      </c>
      <c r="B3" s="20" t="s">
        <v>42</v>
      </c>
      <c r="C3" s="20" t="s">
        <v>42</v>
      </c>
      <c r="D3" s="20" t="s">
        <v>43</v>
      </c>
      <c r="E3" s="21"/>
      <c r="F3" s="21"/>
      <c r="G3" s="21">
        <v>469</v>
      </c>
      <c r="H3" s="21">
        <v>149553</v>
      </c>
      <c r="I3" s="21"/>
      <c r="J3" s="21">
        <v>0</v>
      </c>
      <c r="K3" s="21"/>
      <c r="L3" s="21">
        <v>0</v>
      </c>
      <c r="M3" s="21"/>
      <c r="N3" s="22">
        <f>E3/2+F3*0.75+G3+H3*1.5+I3*2+J3*2.25+K3*3+L3*3.75+M3*7.5</f>
        <v>224798.5</v>
      </c>
      <c r="O3" s="23"/>
      <c r="P3" s="23"/>
      <c r="Q3" s="23">
        <v>11980</v>
      </c>
      <c r="R3" s="23">
        <v>0</v>
      </c>
      <c r="S3" s="23">
        <v>2900</v>
      </c>
      <c r="T3" s="23">
        <v>0</v>
      </c>
      <c r="U3" s="24">
        <f t="shared" ref="U3:U5" si="4">O3*0.5+P3*0.75+Q3+R3*1.25+S3*1.5+T3*2.5</f>
        <v>16330</v>
      </c>
      <c r="V3" s="23">
        <v>8</v>
      </c>
      <c r="W3" s="23">
        <v>19345</v>
      </c>
      <c r="X3" s="24">
        <f t="shared" ref="X3:X5" si="5">V3/2+W3</f>
        <v>19349</v>
      </c>
      <c r="Y3" s="23">
        <v>2755</v>
      </c>
      <c r="Z3" s="23"/>
      <c r="AA3" s="23"/>
      <c r="AB3" s="25">
        <f t="shared" si="1"/>
        <v>2755</v>
      </c>
      <c r="AC3" s="23">
        <v>7932</v>
      </c>
      <c r="AD3" s="23">
        <v>4996</v>
      </c>
      <c r="AE3" s="23"/>
      <c r="AF3" s="23"/>
      <c r="AG3" s="24">
        <f t="shared" si="2"/>
        <v>10310.44</v>
      </c>
      <c r="AH3" s="23"/>
      <c r="AI3" s="23"/>
      <c r="AJ3" s="24">
        <f t="shared" si="3"/>
        <v>0</v>
      </c>
      <c r="AK3" s="26" t="s">
        <v>39</v>
      </c>
      <c r="AL3" s="27">
        <f t="shared" ref="AL3:AL4" si="6">SUM(N3,U3,X3,AB3,AG3,AJ3)</f>
        <v>273542.94</v>
      </c>
      <c r="AM3" s="27" t="s">
        <v>40</v>
      </c>
      <c r="AN3"/>
    </row>
    <row r="4" spans="1:40">
      <c r="A4" s="19" t="str">
        <f t="shared" si="0"/>
        <v>销售五部甘肃省</v>
      </c>
      <c r="B4" s="20" t="s">
        <v>42</v>
      </c>
      <c r="C4" s="20" t="s">
        <v>42</v>
      </c>
      <c r="D4" s="20" t="s">
        <v>44</v>
      </c>
      <c r="E4" s="21"/>
      <c r="F4" s="21"/>
      <c r="G4" s="21">
        <v>10</v>
      </c>
      <c r="H4" s="21">
        <v>26827</v>
      </c>
      <c r="I4" s="21"/>
      <c r="J4" s="21">
        <v>0</v>
      </c>
      <c r="K4" s="21"/>
      <c r="L4" s="21">
        <v>0</v>
      </c>
      <c r="M4" s="21"/>
      <c r="N4" s="22">
        <f>E4/2+F4*0.75+G4+H4*1.5+I4*2+J4*2.25+K4*3+L4*3.75+M4*7.5</f>
        <v>40250.5</v>
      </c>
      <c r="O4" s="23"/>
      <c r="P4" s="23"/>
      <c r="Q4" s="23">
        <v>35</v>
      </c>
      <c r="R4" s="23">
        <v>20</v>
      </c>
      <c r="S4" s="23">
        <v>0</v>
      </c>
      <c r="T4" s="23">
        <v>0</v>
      </c>
      <c r="U4" s="24">
        <f t="shared" si="4"/>
        <v>60</v>
      </c>
      <c r="V4" s="23">
        <v>0</v>
      </c>
      <c r="W4" s="23">
        <v>976</v>
      </c>
      <c r="X4" s="24">
        <f t="shared" si="5"/>
        <v>976</v>
      </c>
      <c r="Y4" s="23">
        <v>730</v>
      </c>
      <c r="Z4" s="23"/>
      <c r="AA4" s="23"/>
      <c r="AB4" s="25">
        <f t="shared" si="1"/>
        <v>730</v>
      </c>
      <c r="AC4" s="23">
        <v>10</v>
      </c>
      <c r="AD4" s="23">
        <v>219</v>
      </c>
      <c r="AE4" s="23"/>
      <c r="AF4" s="23"/>
      <c r="AG4" s="24">
        <f t="shared" si="2"/>
        <v>225.7</v>
      </c>
      <c r="AH4" s="23"/>
      <c r="AI4" s="23"/>
      <c r="AJ4" s="24">
        <f t="shared" si="3"/>
        <v>0</v>
      </c>
      <c r="AK4" s="26" t="s">
        <v>39</v>
      </c>
      <c r="AL4" s="27">
        <f t="shared" si="6"/>
        <v>42242.2</v>
      </c>
      <c r="AM4" s="27" t="s">
        <v>40</v>
      </c>
      <c r="AN4"/>
    </row>
    <row r="5" spans="1:40">
      <c r="A5" s="19" t="str">
        <f t="shared" si="0"/>
        <v>销售五部陕西省</v>
      </c>
      <c r="B5" s="20" t="s">
        <v>42</v>
      </c>
      <c r="C5" s="20" t="s">
        <v>42</v>
      </c>
      <c r="D5" s="20" t="s">
        <v>45</v>
      </c>
      <c r="E5" s="21"/>
      <c r="G5" s="21">
        <v>273</v>
      </c>
      <c r="H5" s="21">
        <v>36455</v>
      </c>
      <c r="J5" s="21">
        <v>40</v>
      </c>
      <c r="L5" s="21">
        <v>288</v>
      </c>
      <c r="M5" s="21"/>
      <c r="N5" s="22">
        <f>E5/2+F5*0.75+G5+H5*1.5+I5*2+J5*2.25+K5*3+L5*3.75+M5*7.5</f>
        <v>56125.5</v>
      </c>
      <c r="Q5" s="23">
        <v>0</v>
      </c>
      <c r="R5" s="23">
        <v>0</v>
      </c>
      <c r="S5" s="23">
        <v>40</v>
      </c>
      <c r="T5" s="23">
        <v>120</v>
      </c>
      <c r="U5" s="24">
        <f t="shared" si="4"/>
        <v>360</v>
      </c>
      <c r="V5" s="23">
        <v>0</v>
      </c>
      <c r="W5" s="23">
        <v>30</v>
      </c>
      <c r="X5" s="24">
        <f t="shared" si="5"/>
        <v>30</v>
      </c>
      <c r="Y5" s="23">
        <v>80</v>
      </c>
      <c r="AB5" s="25">
        <f t="shared" si="1"/>
        <v>80</v>
      </c>
      <c r="AC5" s="23">
        <v>0</v>
      </c>
      <c r="AD5" s="23">
        <v>0</v>
      </c>
      <c r="AG5" s="24">
        <f t="shared" si="2"/>
        <v>0</v>
      </c>
      <c r="AJ5" s="24">
        <f t="shared" ref="AJ5" si="7">AH5+AI5*1.75</f>
        <v>0</v>
      </c>
      <c r="AK5" s="26" t="s">
        <v>39</v>
      </c>
      <c r="AL5" s="27">
        <f t="shared" ref="AL5" si="8">SUM(N5,U5,X5,AB5,AG5,AJ5)</f>
        <v>56595.5</v>
      </c>
      <c r="AM5" s="27" t="s">
        <v>40</v>
      </c>
    </row>
    <row r="7" spans="1:40">
      <c r="N7" s="2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13" spans="1:40">
      <c r="AL13"/>
    </row>
  </sheetData>
  <sortState ref="A2:AK281">
    <sortCondition ref="AK2:AK281"/>
    <sortCondition ref="B2:B281"/>
    <sortCondition ref="C2:C281"/>
    <sortCondition ref="D2:D28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workbookViewId="0">
      <pane xSplit="2" ySplit="4" topLeftCell="C38" activePane="bottomRight" state="frozen"/>
      <selection/>
      <selection pane="topRight"/>
      <selection pane="bottomLeft"/>
      <selection pane="bottomRight" activeCell="A56" sqref="$A56:$XFD56"/>
    </sheetView>
  </sheetViews>
  <sheetFormatPr defaultColWidth="9" defaultRowHeight="13.5" outlineLevelCol="5"/>
  <cols>
    <col min="1" max="1" width="11.5" customWidth="1"/>
    <col min="3" max="3" width="14.125" customWidth="1"/>
  </cols>
  <sheetData>
    <row r="1" spans="1:6">
      <c r="A1" s="1" t="s">
        <v>36</v>
      </c>
      <c r="B1" s="1" t="s">
        <v>46</v>
      </c>
    </row>
    <row r="3" spans="1:6">
      <c r="A3" s="1" t="s">
        <v>1</v>
      </c>
      <c r="B3" s="1" t="s">
        <v>3</v>
      </c>
      <c r="C3" s="1" t="s">
        <v>47</v>
      </c>
      <c r="D3" s="1" t="s">
        <v>48</v>
      </c>
      <c r="E3" s="1" t="s">
        <v>49</v>
      </c>
      <c r="F3" s="1" t="s">
        <v>50</v>
      </c>
    </row>
    <row r="4" spans="1:6">
      <c r="A4" s="1" t="s">
        <v>51</v>
      </c>
      <c r="B4" s="1" t="s">
        <v>52</v>
      </c>
      <c r="C4" s="2">
        <v>71189</v>
      </c>
      <c r="D4" s="2">
        <v>0</v>
      </c>
      <c r="E4" s="2">
        <v>0</v>
      </c>
      <c r="F4" s="2">
        <v>0</v>
      </c>
    </row>
    <row r="5" spans="1:6">
      <c r="A5" s="1" t="s">
        <v>51</v>
      </c>
      <c r="B5" s="1" t="s">
        <v>53</v>
      </c>
      <c r="C5" s="2">
        <v>155432</v>
      </c>
      <c r="D5" s="2">
        <v>10</v>
      </c>
      <c r="E5" s="2">
        <v>890</v>
      </c>
      <c r="F5" s="2">
        <v>2</v>
      </c>
    </row>
    <row r="6" spans="1:6">
      <c r="A6" s="1" t="s">
        <v>51</v>
      </c>
      <c r="B6" s="1" t="s">
        <v>54</v>
      </c>
      <c r="C6" s="2">
        <v>62402</v>
      </c>
      <c r="D6" s="2">
        <v>0</v>
      </c>
      <c r="E6" s="2">
        <v>0</v>
      </c>
      <c r="F6" s="2">
        <v>0</v>
      </c>
    </row>
    <row r="7" spans="1:6">
      <c r="A7" s="1" t="s">
        <v>51</v>
      </c>
      <c r="B7" s="1" t="s">
        <v>55</v>
      </c>
      <c r="C7" s="2">
        <v>112918</v>
      </c>
      <c r="D7" s="2">
        <v>2084</v>
      </c>
      <c r="E7" s="2">
        <v>0</v>
      </c>
      <c r="F7" s="2">
        <v>3</v>
      </c>
    </row>
    <row r="8" spans="1:6">
      <c r="A8" s="1" t="s">
        <v>51</v>
      </c>
      <c r="B8" s="1" t="s">
        <v>56</v>
      </c>
      <c r="C8" s="2">
        <v>57451.75</v>
      </c>
      <c r="D8" s="2">
        <v>0</v>
      </c>
      <c r="E8" s="2">
        <v>0</v>
      </c>
      <c r="F8" s="2">
        <v>0</v>
      </c>
    </row>
    <row r="9" spans="1:6">
      <c r="A9" s="1" t="s">
        <v>51</v>
      </c>
      <c r="B9" s="1" t="s">
        <v>57</v>
      </c>
      <c r="C9" s="2">
        <v>181870.75</v>
      </c>
      <c r="D9" s="2">
        <v>0</v>
      </c>
      <c r="E9" s="2">
        <v>0</v>
      </c>
      <c r="F9" s="2">
        <v>0</v>
      </c>
    </row>
    <row r="10" spans="1:6">
      <c r="A10" s="1" t="s">
        <v>51</v>
      </c>
      <c r="B10" s="1" t="s">
        <v>58</v>
      </c>
      <c r="C10" s="2">
        <v>67514</v>
      </c>
      <c r="D10" s="2">
        <v>0</v>
      </c>
      <c r="E10" s="2">
        <v>0</v>
      </c>
      <c r="F10" s="2">
        <v>0</v>
      </c>
    </row>
    <row r="11" spans="1:6">
      <c r="A11" s="1" t="s">
        <v>51</v>
      </c>
      <c r="B11" s="1" t="s">
        <v>59</v>
      </c>
      <c r="C11" s="2">
        <v>38302.5</v>
      </c>
      <c r="D11" s="2">
        <v>0</v>
      </c>
      <c r="E11" s="2">
        <v>0</v>
      </c>
      <c r="F11" s="2">
        <v>4</v>
      </c>
    </row>
    <row r="12" spans="1:6">
      <c r="A12" s="1" t="s">
        <v>51</v>
      </c>
      <c r="B12" s="1" t="s">
        <v>60</v>
      </c>
      <c r="C12" s="2">
        <v>96175</v>
      </c>
      <c r="D12" s="2">
        <v>0</v>
      </c>
      <c r="E12" s="2">
        <v>0</v>
      </c>
      <c r="F12" s="2">
        <v>0</v>
      </c>
    </row>
    <row r="13" spans="1:6">
      <c r="A13" s="1" t="s">
        <v>51</v>
      </c>
      <c r="B13" s="1" t="s">
        <v>61</v>
      </c>
      <c r="C13" s="2">
        <v>28240.5</v>
      </c>
      <c r="D13" s="2">
        <v>0</v>
      </c>
      <c r="E13" s="2">
        <v>0</v>
      </c>
      <c r="F13" s="2">
        <v>0</v>
      </c>
    </row>
    <row r="14" spans="1:6">
      <c r="A14" s="1" t="s">
        <v>51</v>
      </c>
      <c r="B14" s="1" t="s">
        <v>62</v>
      </c>
      <c r="C14" s="2">
        <v>40298</v>
      </c>
      <c r="D14" s="2">
        <v>0</v>
      </c>
      <c r="E14" s="2">
        <v>0</v>
      </c>
      <c r="F14" s="2">
        <v>0</v>
      </c>
    </row>
    <row r="15" spans="1:6">
      <c r="A15" s="1" t="s">
        <v>51</v>
      </c>
      <c r="B15" s="1" t="s">
        <v>63</v>
      </c>
      <c r="C15" s="2">
        <v>31991.5</v>
      </c>
      <c r="D15" s="2">
        <v>0</v>
      </c>
      <c r="E15" s="2">
        <v>0</v>
      </c>
      <c r="F15" s="2">
        <v>0</v>
      </c>
    </row>
    <row r="16" spans="1:6">
      <c r="A16" s="1" t="s">
        <v>51</v>
      </c>
      <c r="B16" s="1" t="s">
        <v>64</v>
      </c>
      <c r="C16" s="2">
        <v>79695.5</v>
      </c>
      <c r="D16" s="2">
        <v>0</v>
      </c>
      <c r="E16" s="2">
        <v>710</v>
      </c>
      <c r="F16" s="2">
        <v>1</v>
      </c>
    </row>
    <row r="17" spans="1:6">
      <c r="A17" s="1" t="s">
        <v>51</v>
      </c>
      <c r="B17" s="1" t="s">
        <v>65</v>
      </c>
      <c r="C17" s="2">
        <v>90342.5</v>
      </c>
      <c r="D17" s="2">
        <v>0</v>
      </c>
      <c r="E17" s="2">
        <v>0</v>
      </c>
      <c r="F17" s="2">
        <v>0</v>
      </c>
    </row>
    <row r="18" spans="1:6">
      <c r="A18" s="1" t="s">
        <v>37</v>
      </c>
      <c r="B18" s="1" t="s">
        <v>38</v>
      </c>
      <c r="C18" s="2">
        <v>1038422.5</v>
      </c>
      <c r="D18" s="2">
        <v>76632.5</v>
      </c>
      <c r="E18" s="2">
        <v>107987</v>
      </c>
      <c r="F18" s="2">
        <v>3935</v>
      </c>
    </row>
    <row r="19" spans="1:6">
      <c r="A19" s="1" t="s">
        <v>66</v>
      </c>
      <c r="B19" s="1" t="s">
        <v>67</v>
      </c>
      <c r="C19" s="2">
        <v>214062.75</v>
      </c>
      <c r="D19" s="2">
        <v>0</v>
      </c>
      <c r="E19" s="2">
        <v>0</v>
      </c>
      <c r="F19" s="2">
        <v>0</v>
      </c>
    </row>
    <row r="20" spans="1:6">
      <c r="A20" s="1" t="s">
        <v>66</v>
      </c>
      <c r="B20" s="1" t="s">
        <v>68</v>
      </c>
      <c r="C20" s="2">
        <v>1044894.25</v>
      </c>
      <c r="D20" s="2">
        <v>549774.5</v>
      </c>
      <c r="E20" s="2">
        <v>89255</v>
      </c>
      <c r="F20" s="2">
        <v>2144</v>
      </c>
    </row>
    <row r="21" spans="1:6">
      <c r="A21" s="1" t="s">
        <v>69</v>
      </c>
      <c r="B21" s="1" t="s">
        <v>70</v>
      </c>
      <c r="C21" s="2">
        <v>1243793</v>
      </c>
      <c r="D21" s="2">
        <v>270707</v>
      </c>
      <c r="E21" s="2">
        <v>151216</v>
      </c>
      <c r="F21" s="2">
        <v>3165</v>
      </c>
    </row>
    <row r="22" spans="1:6">
      <c r="A22" s="1" t="s">
        <v>69</v>
      </c>
      <c r="B22" s="1" t="s">
        <v>71</v>
      </c>
      <c r="C22" s="2">
        <v>68532</v>
      </c>
      <c r="D22" s="2">
        <v>20507</v>
      </c>
      <c r="E22" s="2">
        <v>7830</v>
      </c>
      <c r="F22" s="2">
        <v>0</v>
      </c>
    </row>
    <row r="23" spans="1:6">
      <c r="A23" s="1" t="s">
        <v>42</v>
      </c>
      <c r="B23" s="1" t="s">
        <v>44</v>
      </c>
      <c r="C23" s="2">
        <v>167122.5</v>
      </c>
      <c r="D23" s="2">
        <v>294</v>
      </c>
      <c r="E23" s="2">
        <v>4599</v>
      </c>
      <c r="F23" s="2">
        <v>180</v>
      </c>
    </row>
    <row r="24" spans="1:6">
      <c r="A24" s="1" t="s">
        <v>42</v>
      </c>
      <c r="B24" s="1" t="s">
        <v>43</v>
      </c>
      <c r="C24" s="2">
        <v>940961.5</v>
      </c>
      <c r="D24" s="2">
        <v>10669</v>
      </c>
      <c r="E24" s="2">
        <v>58809.5</v>
      </c>
      <c r="F24" s="2">
        <v>5108.85</v>
      </c>
    </row>
    <row r="25" spans="1:6">
      <c r="A25" s="1" t="s">
        <v>42</v>
      </c>
      <c r="B25" s="1" t="s">
        <v>45</v>
      </c>
      <c r="C25" s="2">
        <v>225476.5</v>
      </c>
      <c r="D25" s="2">
        <v>440</v>
      </c>
      <c r="E25" s="2">
        <v>513</v>
      </c>
      <c r="F25" s="2">
        <v>0</v>
      </c>
    </row>
    <row r="26" spans="1:6">
      <c r="A26" s="1" t="s">
        <v>72</v>
      </c>
      <c r="B26" s="1" t="s">
        <v>52</v>
      </c>
      <c r="C26" s="2">
        <v>97992</v>
      </c>
      <c r="D26" s="2">
        <v>61502.5</v>
      </c>
      <c r="E26" s="2">
        <v>5341</v>
      </c>
      <c r="F26" s="2">
        <v>5210</v>
      </c>
    </row>
    <row r="27" spans="1:6">
      <c r="A27" s="1" t="s">
        <v>72</v>
      </c>
      <c r="B27" s="1" t="s">
        <v>53</v>
      </c>
      <c r="C27" s="2">
        <v>348386</v>
      </c>
      <c r="D27" s="2">
        <v>540</v>
      </c>
      <c r="E27" s="2">
        <v>36157</v>
      </c>
      <c r="F27" s="2">
        <v>12</v>
      </c>
    </row>
    <row r="28" spans="1:6">
      <c r="A28" s="1" t="s">
        <v>72</v>
      </c>
      <c r="B28" s="1" t="s">
        <v>54</v>
      </c>
      <c r="C28" s="2">
        <v>65721.75</v>
      </c>
      <c r="D28" s="2">
        <v>48452</v>
      </c>
      <c r="E28" s="2">
        <v>1740</v>
      </c>
      <c r="F28" s="2">
        <v>0</v>
      </c>
    </row>
    <row r="29" spans="1:6">
      <c r="A29" s="1" t="s">
        <v>72</v>
      </c>
      <c r="B29" s="1" t="s">
        <v>55</v>
      </c>
      <c r="C29" s="2">
        <v>146856.5</v>
      </c>
      <c r="D29" s="2">
        <v>6675</v>
      </c>
      <c r="E29" s="2">
        <v>82829</v>
      </c>
      <c r="F29" s="2">
        <v>2470</v>
      </c>
    </row>
    <row r="30" spans="1:6">
      <c r="A30" s="1" t="s">
        <v>72</v>
      </c>
      <c r="B30" s="1" t="s">
        <v>73</v>
      </c>
      <c r="C30" s="2">
        <v>164577</v>
      </c>
      <c r="D30" s="2">
        <v>10406</v>
      </c>
      <c r="E30" s="2">
        <v>18516</v>
      </c>
      <c r="F30" s="2">
        <v>0</v>
      </c>
    </row>
    <row r="31" spans="1:6">
      <c r="A31" s="1" t="s">
        <v>72</v>
      </c>
      <c r="B31" s="1" t="s">
        <v>56</v>
      </c>
      <c r="C31" s="2">
        <v>59399</v>
      </c>
      <c r="D31" s="2">
        <v>3620.5</v>
      </c>
      <c r="E31" s="2">
        <v>1460</v>
      </c>
      <c r="F31" s="2">
        <v>0</v>
      </c>
    </row>
    <row r="32" spans="1:6">
      <c r="A32" s="1" t="s">
        <v>72</v>
      </c>
      <c r="B32" s="1" t="s">
        <v>57</v>
      </c>
      <c r="C32" s="2">
        <v>456362.75</v>
      </c>
      <c r="D32" s="2">
        <v>273934</v>
      </c>
      <c r="E32" s="2">
        <v>68812</v>
      </c>
      <c r="F32" s="2">
        <v>3457</v>
      </c>
    </row>
    <row r="33" spans="1:6">
      <c r="A33" s="1" t="s">
        <v>72</v>
      </c>
      <c r="B33" s="1" t="s">
        <v>58</v>
      </c>
      <c r="C33" s="2">
        <v>77753.25</v>
      </c>
      <c r="D33" s="2">
        <v>10916.75</v>
      </c>
      <c r="E33" s="2">
        <v>29133</v>
      </c>
      <c r="F33" s="2">
        <v>4935.5</v>
      </c>
    </row>
    <row r="34" spans="1:6">
      <c r="A34" s="1" t="s">
        <v>72</v>
      </c>
      <c r="B34" s="1" t="s">
        <v>59</v>
      </c>
      <c r="C34" s="2">
        <v>151361.5</v>
      </c>
      <c r="D34" s="2">
        <v>768</v>
      </c>
      <c r="E34" s="2">
        <v>7970</v>
      </c>
      <c r="F34" s="2">
        <v>0</v>
      </c>
    </row>
    <row r="35" spans="1:6">
      <c r="A35" s="1" t="s">
        <v>72</v>
      </c>
      <c r="B35" s="1" t="s">
        <v>60</v>
      </c>
      <c r="C35" s="2">
        <v>215497.5</v>
      </c>
      <c r="D35" s="2">
        <v>133278.5</v>
      </c>
      <c r="E35" s="2">
        <v>12522.5</v>
      </c>
      <c r="F35" s="2">
        <v>3220</v>
      </c>
    </row>
    <row r="36" spans="1:6">
      <c r="A36" s="1" t="s">
        <v>72</v>
      </c>
      <c r="B36" s="1" t="s">
        <v>61</v>
      </c>
      <c r="C36" s="2">
        <v>90312</v>
      </c>
      <c r="D36" s="2">
        <v>35229</v>
      </c>
      <c r="E36" s="2">
        <v>3275</v>
      </c>
      <c r="F36" s="2">
        <v>1685</v>
      </c>
    </row>
    <row r="37" spans="1:6">
      <c r="A37" s="1" t="s">
        <v>72</v>
      </c>
      <c r="B37" s="1" t="s">
        <v>45</v>
      </c>
      <c r="C37" s="2">
        <v>87455.5</v>
      </c>
      <c r="D37" s="2">
        <v>387</v>
      </c>
      <c r="E37" s="2">
        <v>13852</v>
      </c>
      <c r="F37" s="2">
        <v>390</v>
      </c>
    </row>
    <row r="38" spans="1:6">
      <c r="A38" s="1" t="s">
        <v>72</v>
      </c>
      <c r="B38" s="1" t="s">
        <v>62</v>
      </c>
      <c r="C38" s="2">
        <v>262749</v>
      </c>
      <c r="D38" s="2">
        <v>8714</v>
      </c>
      <c r="E38" s="2">
        <v>18160</v>
      </c>
      <c r="F38" s="2">
        <v>4100</v>
      </c>
    </row>
    <row r="39" spans="1:6">
      <c r="A39" s="1" t="s">
        <v>72</v>
      </c>
      <c r="B39" s="1" t="s">
        <v>63</v>
      </c>
      <c r="C39" s="2">
        <v>98189</v>
      </c>
      <c r="D39" s="2">
        <v>9747.5</v>
      </c>
      <c r="E39" s="2">
        <v>5162</v>
      </c>
      <c r="F39" s="2">
        <v>40</v>
      </c>
    </row>
    <row r="40" spans="1:6">
      <c r="A40" s="1" t="s">
        <v>72</v>
      </c>
      <c r="B40" s="1" t="s">
        <v>64</v>
      </c>
      <c r="C40" s="2">
        <v>83833.5</v>
      </c>
      <c r="D40" s="2">
        <v>44146.25</v>
      </c>
      <c r="E40" s="2">
        <v>1006</v>
      </c>
      <c r="F40" s="2">
        <v>3</v>
      </c>
    </row>
    <row r="41" spans="1:6">
      <c r="A41" s="1" t="s">
        <v>72</v>
      </c>
      <c r="B41" s="1" t="s">
        <v>65</v>
      </c>
      <c r="C41" s="2">
        <v>94521.25</v>
      </c>
      <c r="D41" s="2">
        <v>4080</v>
      </c>
      <c r="E41" s="2">
        <v>23049</v>
      </c>
      <c r="F41" s="2">
        <v>310</v>
      </c>
    </row>
    <row r="42" spans="1:6">
      <c r="A42" s="1" t="s">
        <v>72</v>
      </c>
      <c r="B42" s="1" t="s">
        <v>74</v>
      </c>
      <c r="C42" s="2">
        <v>59266.25</v>
      </c>
      <c r="D42" s="2">
        <v>612.5</v>
      </c>
      <c r="E42" s="2">
        <v>2136</v>
      </c>
      <c r="F42" s="2">
        <v>0</v>
      </c>
    </row>
    <row r="43" spans="1:6">
      <c r="A43" s="1" t="s">
        <v>72</v>
      </c>
      <c r="B43" s="1" t="s">
        <v>75</v>
      </c>
      <c r="C43" s="2">
        <v>17686</v>
      </c>
      <c r="D43" s="2">
        <v>3925</v>
      </c>
      <c r="E43" s="2">
        <v>8084</v>
      </c>
      <c r="F43" s="2">
        <v>50</v>
      </c>
    </row>
    <row r="44" spans="1:6">
      <c r="A44" s="1" t="s">
        <v>72</v>
      </c>
      <c r="B44" s="1" t="s">
        <v>76</v>
      </c>
      <c r="C44" s="2">
        <v>104535</v>
      </c>
      <c r="D44" s="2">
        <v>39076.5</v>
      </c>
      <c r="E44" s="2">
        <v>3685.5</v>
      </c>
      <c r="F44" s="2">
        <v>5235</v>
      </c>
    </row>
    <row r="45" spans="1:6">
      <c r="A45" s="1" t="s">
        <v>72</v>
      </c>
      <c r="B45" s="1" t="s">
        <v>77</v>
      </c>
      <c r="C45" s="2">
        <v>66234</v>
      </c>
      <c r="D45" s="2">
        <v>0</v>
      </c>
      <c r="E45" s="2">
        <v>4693</v>
      </c>
      <c r="F45" s="2">
        <v>1</v>
      </c>
    </row>
    <row r="46" spans="1:6">
      <c r="A46" s="1" t="s">
        <v>72</v>
      </c>
      <c r="B46" s="1" t="s">
        <v>78</v>
      </c>
      <c r="C46" s="2">
        <v>1682</v>
      </c>
      <c r="D46" s="2">
        <v>0</v>
      </c>
      <c r="E46" s="2">
        <v>0</v>
      </c>
      <c r="F46" s="2">
        <v>0</v>
      </c>
    </row>
    <row r="47" spans="1:6">
      <c r="A47" s="1" t="s">
        <v>72</v>
      </c>
      <c r="B47" s="1" t="s">
        <v>79</v>
      </c>
      <c r="C47" s="2">
        <v>44030</v>
      </c>
      <c r="D47" s="2">
        <v>0</v>
      </c>
      <c r="E47" s="2">
        <v>725</v>
      </c>
      <c r="F47" s="2">
        <v>1</v>
      </c>
    </row>
    <row r="48" spans="1:6">
      <c r="A48" s="1" t="s">
        <v>72</v>
      </c>
      <c r="B48" s="1" t="s">
        <v>80</v>
      </c>
      <c r="C48" s="2">
        <v>86793.5</v>
      </c>
      <c r="D48" s="2">
        <v>2030</v>
      </c>
      <c r="E48" s="2">
        <v>14545</v>
      </c>
      <c r="F48" s="2">
        <v>0</v>
      </c>
    </row>
    <row r="49" spans="1:6">
      <c r="A49" s="1" t="s">
        <v>81</v>
      </c>
      <c r="B49" s="1" t="s">
        <v>52</v>
      </c>
      <c r="C49" s="2">
        <v>5828.25</v>
      </c>
      <c r="D49" s="2">
        <v>0</v>
      </c>
      <c r="E49" s="2">
        <v>0</v>
      </c>
      <c r="F49" s="2">
        <v>0</v>
      </c>
    </row>
    <row r="50" spans="1:6">
      <c r="A50" s="1" t="s">
        <v>81</v>
      </c>
      <c r="B50" s="1" t="s">
        <v>38</v>
      </c>
      <c r="C50" s="2">
        <v>13322.25</v>
      </c>
      <c r="D50" s="2">
        <v>0</v>
      </c>
      <c r="E50" s="2">
        <v>0</v>
      </c>
      <c r="F50" s="2">
        <v>0</v>
      </c>
    </row>
    <row r="51" spans="1:6">
      <c r="A51" s="1" t="s">
        <v>81</v>
      </c>
      <c r="B51" s="1" t="s">
        <v>67</v>
      </c>
      <c r="C51" s="2">
        <v>37061.25</v>
      </c>
      <c r="D51" s="2">
        <v>1657.5</v>
      </c>
      <c r="E51" s="2">
        <v>0</v>
      </c>
      <c r="F51" s="2">
        <v>0</v>
      </c>
    </row>
    <row r="52" spans="1:6">
      <c r="A52" s="1" t="s">
        <v>81</v>
      </c>
      <c r="B52" s="1" t="s">
        <v>44</v>
      </c>
      <c r="C52" s="2">
        <v>10530</v>
      </c>
      <c r="D52" s="2">
        <v>198</v>
      </c>
      <c r="E52" s="2">
        <v>0</v>
      </c>
      <c r="F52" s="2">
        <v>105.3</v>
      </c>
    </row>
    <row r="53" spans="1:6">
      <c r="A53" s="1" t="s">
        <v>81</v>
      </c>
      <c r="B53" s="1" t="s">
        <v>70</v>
      </c>
      <c r="C53" s="2">
        <v>146197.5</v>
      </c>
      <c r="D53" s="2">
        <v>1857</v>
      </c>
      <c r="E53" s="2">
        <v>0</v>
      </c>
      <c r="F53" s="2">
        <v>479.7</v>
      </c>
    </row>
    <row r="54" spans="1:6">
      <c r="A54" s="1" t="s">
        <v>81</v>
      </c>
      <c r="B54" s="1" t="s">
        <v>71</v>
      </c>
      <c r="C54" s="2">
        <v>3675</v>
      </c>
      <c r="D54" s="2">
        <v>0</v>
      </c>
      <c r="E54" s="2">
        <v>0</v>
      </c>
      <c r="F54" s="2">
        <v>0</v>
      </c>
    </row>
    <row r="55" spans="1:6">
      <c r="A55" s="1" t="s">
        <v>81</v>
      </c>
      <c r="B55" s="1" t="s">
        <v>53</v>
      </c>
      <c r="C55" s="2">
        <v>109408.5</v>
      </c>
      <c r="D55" s="2">
        <v>37.5</v>
      </c>
      <c r="E55" s="2">
        <v>0</v>
      </c>
      <c r="F55" s="2">
        <v>1053</v>
      </c>
    </row>
    <row r="56" spans="1:6">
      <c r="A56" s="1" t="s">
        <v>81</v>
      </c>
      <c r="B56" s="1" t="s">
        <v>43</v>
      </c>
      <c r="C56" s="2">
        <v>111045</v>
      </c>
      <c r="D56" s="2">
        <v>41.25</v>
      </c>
      <c r="E56" s="2">
        <v>0</v>
      </c>
      <c r="F56" s="2">
        <v>4697.55</v>
      </c>
    </row>
    <row r="57" spans="1:6">
      <c r="A57" s="1" t="s">
        <v>81</v>
      </c>
      <c r="B57" s="1" t="s">
        <v>54</v>
      </c>
      <c r="C57" s="2">
        <v>22419.75</v>
      </c>
      <c r="D57" s="2">
        <v>0</v>
      </c>
      <c r="E57" s="2">
        <v>0</v>
      </c>
      <c r="F57" s="2">
        <v>526.5</v>
      </c>
    </row>
    <row r="58" spans="1:6">
      <c r="A58" s="1" t="s">
        <v>81</v>
      </c>
      <c r="B58" s="1" t="s">
        <v>55</v>
      </c>
      <c r="C58" s="2">
        <v>32982</v>
      </c>
      <c r="D58" s="2">
        <v>552.75</v>
      </c>
      <c r="E58" s="2">
        <v>0</v>
      </c>
      <c r="F58" s="2">
        <v>0</v>
      </c>
    </row>
    <row r="59" spans="1:6">
      <c r="A59" s="1" t="s">
        <v>81</v>
      </c>
      <c r="B59" s="1" t="s">
        <v>73</v>
      </c>
      <c r="C59" s="2">
        <v>33624.75</v>
      </c>
      <c r="D59" s="2">
        <v>15226.5</v>
      </c>
      <c r="E59" s="2">
        <v>0</v>
      </c>
      <c r="F59" s="2">
        <v>0</v>
      </c>
    </row>
    <row r="60" spans="1:6">
      <c r="A60" s="1" t="s">
        <v>81</v>
      </c>
      <c r="B60" s="1" t="s">
        <v>56</v>
      </c>
      <c r="C60" s="2">
        <v>14497.5</v>
      </c>
      <c r="D60" s="2">
        <v>0</v>
      </c>
      <c r="E60" s="2">
        <v>0</v>
      </c>
      <c r="F60" s="2">
        <v>243.36</v>
      </c>
    </row>
    <row r="61" spans="1:6">
      <c r="A61" s="1" t="s">
        <v>81</v>
      </c>
      <c r="B61" s="1" t="s">
        <v>57</v>
      </c>
      <c r="C61" s="2">
        <v>37524.75</v>
      </c>
      <c r="D61" s="2">
        <v>0</v>
      </c>
      <c r="E61" s="2">
        <v>0</v>
      </c>
      <c r="F61" s="2">
        <v>0</v>
      </c>
    </row>
    <row r="62" spans="1:6">
      <c r="A62" s="1" t="s">
        <v>81</v>
      </c>
      <c r="B62" s="1" t="s">
        <v>58</v>
      </c>
      <c r="C62" s="2">
        <v>30711</v>
      </c>
      <c r="D62" s="2">
        <v>7068</v>
      </c>
      <c r="E62" s="2">
        <v>0</v>
      </c>
      <c r="F62" s="2">
        <v>234</v>
      </c>
    </row>
    <row r="63" spans="1:6">
      <c r="A63" s="1" t="s">
        <v>81</v>
      </c>
      <c r="B63" s="1" t="s">
        <v>59</v>
      </c>
      <c r="C63" s="2">
        <v>21190.5</v>
      </c>
      <c r="D63" s="2">
        <v>5038.5</v>
      </c>
      <c r="E63" s="2">
        <v>0</v>
      </c>
      <c r="F63" s="2">
        <v>744.12</v>
      </c>
    </row>
    <row r="64" spans="1:6">
      <c r="A64" s="1" t="s">
        <v>81</v>
      </c>
      <c r="B64" s="1" t="s">
        <v>60</v>
      </c>
      <c r="C64" s="2">
        <v>38719.5</v>
      </c>
      <c r="D64" s="2">
        <v>0</v>
      </c>
      <c r="E64" s="2">
        <v>0</v>
      </c>
      <c r="F64" s="2">
        <v>146.25</v>
      </c>
    </row>
    <row r="65" spans="1:6">
      <c r="A65" s="1" t="s">
        <v>81</v>
      </c>
      <c r="B65" s="1" t="s">
        <v>61</v>
      </c>
      <c r="C65" s="2">
        <v>24339</v>
      </c>
      <c r="D65" s="2">
        <v>281.25</v>
      </c>
      <c r="E65" s="2">
        <v>0</v>
      </c>
      <c r="F65" s="2">
        <v>117</v>
      </c>
    </row>
    <row r="66" spans="1:6">
      <c r="A66" s="1" t="s">
        <v>81</v>
      </c>
      <c r="B66" s="1" t="s">
        <v>45</v>
      </c>
      <c r="C66" s="2">
        <v>60919.5</v>
      </c>
      <c r="D66" s="2">
        <v>2682</v>
      </c>
      <c r="E66" s="2">
        <v>0</v>
      </c>
      <c r="F66" s="2">
        <v>3053.7</v>
      </c>
    </row>
    <row r="67" spans="1:6">
      <c r="A67" s="1" t="s">
        <v>81</v>
      </c>
      <c r="B67" s="1" t="s">
        <v>62</v>
      </c>
      <c r="C67" s="2">
        <v>9648.75</v>
      </c>
      <c r="D67" s="2">
        <v>0</v>
      </c>
      <c r="E67" s="2">
        <v>0</v>
      </c>
      <c r="F67" s="2">
        <v>0</v>
      </c>
    </row>
    <row r="68" spans="1:6">
      <c r="A68" s="1" t="s">
        <v>81</v>
      </c>
      <c r="B68" s="1" t="s">
        <v>63</v>
      </c>
      <c r="C68" s="2">
        <v>4119.25</v>
      </c>
      <c r="D68" s="2">
        <v>0</v>
      </c>
      <c r="E68" s="2">
        <v>0</v>
      </c>
      <c r="F68" s="2">
        <v>52.65</v>
      </c>
    </row>
    <row r="69" spans="1:6">
      <c r="A69" s="1" t="s">
        <v>81</v>
      </c>
      <c r="B69" s="1" t="s">
        <v>64</v>
      </c>
      <c r="C69" s="2">
        <v>31937.25</v>
      </c>
      <c r="D69" s="2">
        <v>0</v>
      </c>
      <c r="E69" s="2">
        <v>0</v>
      </c>
      <c r="F69" s="2">
        <v>0</v>
      </c>
    </row>
    <row r="70" spans="1:6">
      <c r="A70" s="1" t="s">
        <v>81</v>
      </c>
      <c r="B70" s="1" t="s">
        <v>68</v>
      </c>
      <c r="C70" s="2">
        <v>139050.75</v>
      </c>
      <c r="D70" s="2">
        <v>44521.5</v>
      </c>
      <c r="E70" s="2">
        <v>0</v>
      </c>
      <c r="F70" s="2">
        <v>1170</v>
      </c>
    </row>
    <row r="71" spans="1:6">
      <c r="A71" s="1" t="s">
        <v>81</v>
      </c>
      <c r="B71" s="1" t="s">
        <v>65</v>
      </c>
      <c r="C71" s="2">
        <v>7025.25</v>
      </c>
      <c r="D71" s="2">
        <v>0</v>
      </c>
      <c r="E71" s="2">
        <v>0</v>
      </c>
      <c r="F71" s="2">
        <v>0</v>
      </c>
    </row>
    <row r="72" spans="1:6">
      <c r="A72" s="1" t="s">
        <v>81</v>
      </c>
      <c r="B72" s="1" t="s">
        <v>74</v>
      </c>
      <c r="C72" s="2">
        <v>3699</v>
      </c>
      <c r="D72" s="2">
        <v>0</v>
      </c>
      <c r="E72" s="2">
        <v>0</v>
      </c>
      <c r="F72" s="2">
        <v>0</v>
      </c>
    </row>
    <row r="73" spans="1:6">
      <c r="A73" s="1" t="s">
        <v>81</v>
      </c>
      <c r="B73" s="1" t="s">
        <v>76</v>
      </c>
      <c r="C73" s="2">
        <v>9096.75</v>
      </c>
      <c r="D73" s="2">
        <v>0</v>
      </c>
      <c r="E73" s="2">
        <v>0</v>
      </c>
      <c r="F73" s="2">
        <v>0</v>
      </c>
    </row>
    <row r="74" spans="1:6">
      <c r="A74" s="1" t="s">
        <v>82</v>
      </c>
      <c r="B74" s="1"/>
      <c r="C74" s="2">
        <v>360922.25</v>
      </c>
      <c r="D74" s="2">
        <v>71083.25</v>
      </c>
      <c r="E74" s="2">
        <v>45385</v>
      </c>
      <c r="F74" s="2">
        <v>1231.58</v>
      </c>
    </row>
    <row r="75" spans="1:6">
      <c r="A75" s="1" t="s">
        <v>83</v>
      </c>
      <c r="B75" s="1"/>
      <c r="C75" s="2">
        <v>133711.25</v>
      </c>
      <c r="D75" s="2">
        <v>24554.75</v>
      </c>
      <c r="E75" s="2">
        <v>5032</v>
      </c>
      <c r="F75" s="2">
        <v>328.87</v>
      </c>
    </row>
    <row r="76" spans="1:6">
      <c r="A76" s="1" t="s">
        <v>84</v>
      </c>
      <c r="B76" s="1"/>
      <c r="C76" s="2">
        <v>238430.75</v>
      </c>
      <c r="D76" s="2">
        <v>0</v>
      </c>
      <c r="E76" s="2">
        <v>0</v>
      </c>
      <c r="F76" s="2">
        <v>0</v>
      </c>
    </row>
    <row r="77" spans="1:6">
      <c r="A77" s="1" t="s">
        <v>85</v>
      </c>
      <c r="B77" s="1"/>
      <c r="C77" s="2">
        <v>618881.84</v>
      </c>
      <c r="D77" s="2">
        <v>187179</v>
      </c>
      <c r="E77" s="2">
        <v>143706</v>
      </c>
      <c r="F77" s="2">
        <v>4437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workbookViewId="0">
      <selection activeCell="G1" sqref="G$1:G$1048576"/>
    </sheetView>
  </sheetViews>
  <sheetFormatPr defaultColWidth="9" defaultRowHeight="13.5" outlineLevelCol="6"/>
  <cols>
    <col min="1" max="1" width="11.75" customWidth="1"/>
    <col min="6" max="6" width="8.75" customWidth="1"/>
  </cols>
  <sheetData>
    <row r="1" spans="1:7">
      <c r="B1" s="1" t="s">
        <v>1</v>
      </c>
      <c r="C1" s="1" t="s">
        <v>72</v>
      </c>
      <c r="D1" s="1"/>
      <c r="E1" s="1"/>
      <c r="F1" s="1"/>
      <c r="G1" s="1"/>
    </row>
    <row r="3" spans="1:7">
      <c r="B3" s="1" t="s">
        <v>32</v>
      </c>
      <c r="C3" s="1" t="s">
        <v>36</v>
      </c>
      <c r="D3" s="1"/>
      <c r="E3" s="1"/>
      <c r="F3" s="1"/>
      <c r="G3" s="1"/>
    </row>
    <row r="4" spans="1:7">
      <c r="B4" s="1" t="s">
        <v>3</v>
      </c>
      <c r="C4" s="1" t="s">
        <v>39</v>
      </c>
      <c r="D4" s="1" t="s">
        <v>86</v>
      </c>
      <c r="E4" s="1" t="s">
        <v>87</v>
      </c>
      <c r="F4" s="1" t="s">
        <v>88</v>
      </c>
      <c r="G4" s="1" t="s">
        <v>89</v>
      </c>
    </row>
    <row r="5" spans="1:7">
      <c r="A5" t="str">
        <f>C5&amp;B5</f>
        <v>420安徽省</v>
      </c>
      <c r="B5" s="1" t="s">
        <v>52</v>
      </c>
      <c r="C5" s="1">
        <v>420</v>
      </c>
      <c r="D5" s="1">
        <v>1580</v>
      </c>
      <c r="E5" s="1"/>
      <c r="F5" s="1">
        <v>300</v>
      </c>
      <c r="G5" s="1">
        <v>2300</v>
      </c>
    </row>
    <row r="6" spans="1:7">
      <c r="A6" t="str">
        <f t="shared" ref="A6:A69" si="0">C6&amp;B6</f>
        <v>150河北省</v>
      </c>
      <c r="B6" s="1" t="s">
        <v>53</v>
      </c>
      <c r="C6" s="1">
        <v>150</v>
      </c>
      <c r="D6" s="1">
        <v>10</v>
      </c>
      <c r="E6" s="1"/>
      <c r="F6" s="1">
        <v>0</v>
      </c>
      <c r="G6" s="1">
        <v>160</v>
      </c>
    </row>
    <row r="7" spans="1:7">
      <c r="A7" t="str">
        <f t="shared" si="0"/>
        <v>0黑龙江省</v>
      </c>
      <c r="B7" s="1" t="s">
        <v>54</v>
      </c>
      <c r="C7" s="1">
        <v>0</v>
      </c>
      <c r="D7" s="1">
        <v>0</v>
      </c>
      <c r="E7" s="1"/>
      <c r="F7" s="1">
        <v>0</v>
      </c>
      <c r="G7" s="1">
        <v>0</v>
      </c>
    </row>
    <row r="8" spans="1:7">
      <c r="A8" t="str">
        <f t="shared" si="0"/>
        <v>180湖北省</v>
      </c>
      <c r="B8" s="1" t="s">
        <v>55</v>
      </c>
      <c r="C8" s="1">
        <v>180</v>
      </c>
      <c r="D8" s="1">
        <v>2200</v>
      </c>
      <c r="E8" s="1"/>
      <c r="F8" s="1">
        <v>0</v>
      </c>
      <c r="G8" s="1">
        <v>2380</v>
      </c>
    </row>
    <row r="9" spans="1:7">
      <c r="A9" t="str">
        <f t="shared" si="0"/>
        <v>0湖南省</v>
      </c>
      <c r="B9" s="1" t="s">
        <v>73</v>
      </c>
      <c r="C9" s="1">
        <v>0</v>
      </c>
      <c r="D9" s="1">
        <v>0</v>
      </c>
      <c r="E9" s="1"/>
      <c r="F9" s="1">
        <v>0</v>
      </c>
      <c r="G9" s="1">
        <v>0</v>
      </c>
    </row>
    <row r="10" spans="1:7">
      <c r="A10" t="str">
        <f t="shared" si="0"/>
        <v>0吉林省</v>
      </c>
      <c r="B10" s="1" t="s">
        <v>56</v>
      </c>
      <c r="C10" s="1">
        <v>0</v>
      </c>
      <c r="D10" s="1">
        <v>0</v>
      </c>
      <c r="E10" s="1"/>
      <c r="F10" s="1">
        <v>0</v>
      </c>
      <c r="G10" s="1">
        <v>0</v>
      </c>
    </row>
    <row r="11" spans="1:7">
      <c r="A11" t="str">
        <f t="shared" si="0"/>
        <v>465江苏省</v>
      </c>
      <c r="B11" s="1" t="s">
        <v>57</v>
      </c>
      <c r="C11" s="1">
        <v>465</v>
      </c>
      <c r="D11" s="1">
        <v>621</v>
      </c>
      <c r="E11" s="1">
        <v>1016</v>
      </c>
      <c r="F11" s="1">
        <v>810</v>
      </c>
      <c r="G11" s="1">
        <v>2912</v>
      </c>
    </row>
    <row r="12" spans="1:7">
      <c r="A12" t="str">
        <f t="shared" si="0"/>
        <v>1170江西省</v>
      </c>
      <c r="B12" s="1" t="s">
        <v>58</v>
      </c>
      <c r="C12" s="1">
        <v>1170</v>
      </c>
      <c r="D12" s="1">
        <v>470</v>
      </c>
      <c r="E12" s="1"/>
      <c r="F12" s="1">
        <v>1100</v>
      </c>
      <c r="G12" s="1">
        <v>2740</v>
      </c>
    </row>
    <row r="13" spans="1:7">
      <c r="A13" t="str">
        <f t="shared" si="0"/>
        <v>0辽宁省</v>
      </c>
      <c r="B13" s="1" t="s">
        <v>59</v>
      </c>
      <c r="C13" s="1">
        <v>0</v>
      </c>
      <c r="D13" s="1">
        <v>0</v>
      </c>
      <c r="E13" s="1"/>
      <c r="F13" s="1">
        <v>0</v>
      </c>
      <c r="G13" s="1">
        <v>0</v>
      </c>
    </row>
    <row r="14" spans="1:7">
      <c r="A14" t="str">
        <f t="shared" si="0"/>
        <v>265山东省</v>
      </c>
      <c r="B14" s="1" t="s">
        <v>60</v>
      </c>
      <c r="C14" s="1">
        <v>265</v>
      </c>
      <c r="D14" s="1">
        <v>1085</v>
      </c>
      <c r="E14" s="1">
        <v>1130</v>
      </c>
      <c r="F14" s="1">
        <v>965</v>
      </c>
      <c r="G14" s="1">
        <v>3445</v>
      </c>
    </row>
    <row r="15" spans="1:7">
      <c r="A15" t="str">
        <f t="shared" si="0"/>
        <v>100山西省</v>
      </c>
      <c r="B15" s="1" t="s">
        <v>61</v>
      </c>
      <c r="C15" s="1">
        <v>100</v>
      </c>
      <c r="D15" s="1">
        <v>130</v>
      </c>
      <c r="E15" s="1"/>
      <c r="F15" s="1">
        <v>25</v>
      </c>
      <c r="G15" s="1">
        <v>255</v>
      </c>
    </row>
    <row r="16" spans="1:7">
      <c r="A16" t="str">
        <f t="shared" si="0"/>
        <v>0陕西省</v>
      </c>
      <c r="B16" s="1" t="s">
        <v>45</v>
      </c>
      <c r="C16" s="1">
        <v>0</v>
      </c>
      <c r="D16" s="1">
        <v>0</v>
      </c>
      <c r="E16" s="1">
        <v>200</v>
      </c>
      <c r="F16" s="1">
        <v>0</v>
      </c>
      <c r="G16" s="1">
        <v>200</v>
      </c>
    </row>
    <row r="17" spans="1:7">
      <c r="A17" t="str">
        <f t="shared" si="0"/>
        <v>270四川省</v>
      </c>
      <c r="B17" s="1" t="s">
        <v>62</v>
      </c>
      <c r="C17" s="1">
        <v>270</v>
      </c>
      <c r="D17" s="1">
        <v>1260</v>
      </c>
      <c r="E17" s="1"/>
      <c r="F17" s="1">
        <v>210</v>
      </c>
      <c r="G17" s="1">
        <v>1740</v>
      </c>
    </row>
    <row r="18" spans="1:7">
      <c r="A18" t="str">
        <f t="shared" si="0"/>
        <v>50天津市</v>
      </c>
      <c r="B18" s="1" t="s">
        <v>63</v>
      </c>
      <c r="C18" s="1">
        <v>50</v>
      </c>
      <c r="D18" s="1">
        <v>0</v>
      </c>
      <c r="E18" s="1"/>
      <c r="F18" s="1">
        <v>0</v>
      </c>
      <c r="G18" s="1">
        <v>50</v>
      </c>
    </row>
    <row r="19" spans="1:7">
      <c r="A19" t="str">
        <f t="shared" si="0"/>
        <v>50云南省</v>
      </c>
      <c r="B19" s="1" t="s">
        <v>64</v>
      </c>
      <c r="C19" s="1">
        <v>50</v>
      </c>
      <c r="D19" s="1">
        <v>-10</v>
      </c>
      <c r="E19" s="1"/>
      <c r="F19" s="1">
        <v>0</v>
      </c>
      <c r="G19" s="1">
        <v>40</v>
      </c>
    </row>
    <row r="20" spans="1:7">
      <c r="A20" t="str">
        <f t="shared" si="0"/>
        <v>0重庆市</v>
      </c>
      <c r="B20" s="1" t="s">
        <v>65</v>
      </c>
      <c r="C20" s="1">
        <v>0</v>
      </c>
      <c r="D20" s="1">
        <v>0</v>
      </c>
      <c r="E20" s="1"/>
      <c r="F20" s="1">
        <v>0</v>
      </c>
      <c r="G20" s="1">
        <v>0</v>
      </c>
    </row>
    <row r="21" spans="1:7">
      <c r="A21" t="str">
        <f t="shared" si="0"/>
        <v>0贵州省</v>
      </c>
      <c r="B21" s="1" t="s">
        <v>74</v>
      </c>
      <c r="C21" s="1">
        <v>0</v>
      </c>
      <c r="D21" s="1">
        <v>50</v>
      </c>
      <c r="E21" s="1"/>
      <c r="F21" s="1">
        <v>0</v>
      </c>
      <c r="G21" s="1">
        <v>50</v>
      </c>
    </row>
    <row r="22" spans="1:7">
      <c r="A22" t="str">
        <f t="shared" si="0"/>
        <v>0青海省</v>
      </c>
      <c r="B22" s="1" t="s">
        <v>75</v>
      </c>
      <c r="C22" s="1">
        <v>0</v>
      </c>
      <c r="D22" s="1">
        <v>0</v>
      </c>
      <c r="E22" s="1"/>
      <c r="F22" s="1">
        <v>0</v>
      </c>
      <c r="G22" s="1">
        <v>0</v>
      </c>
    </row>
    <row r="23" spans="1:7">
      <c r="A23" t="str">
        <f t="shared" si="0"/>
        <v>162广西壮族自治区</v>
      </c>
      <c r="B23" s="1" t="s">
        <v>76</v>
      </c>
      <c r="C23" s="1">
        <v>162</v>
      </c>
      <c r="D23" s="1">
        <v>1960</v>
      </c>
      <c r="E23" s="1"/>
      <c r="F23" s="1">
        <v>0</v>
      </c>
      <c r="G23" s="1">
        <v>2122</v>
      </c>
    </row>
    <row r="24" spans="1:7">
      <c r="A24" t="str">
        <f t="shared" si="0"/>
        <v>0内蒙古自治区</v>
      </c>
      <c r="B24" s="1" t="s">
        <v>77</v>
      </c>
      <c r="C24" s="1">
        <v>0</v>
      </c>
      <c r="D24" s="1">
        <v>0</v>
      </c>
      <c r="E24" s="1"/>
      <c r="F24" s="1">
        <v>0</v>
      </c>
      <c r="G24" s="1">
        <v>0</v>
      </c>
    </row>
    <row r="25" spans="1:7">
      <c r="A25" t="str">
        <f t="shared" si="0"/>
        <v>0西藏自治区</v>
      </c>
      <c r="B25" s="1" t="s">
        <v>78</v>
      </c>
      <c r="C25" s="1">
        <v>0</v>
      </c>
      <c r="D25" s="1">
        <v>0</v>
      </c>
      <c r="E25" s="1"/>
      <c r="F25" s="1">
        <v>0</v>
      </c>
      <c r="G25" s="1">
        <v>0</v>
      </c>
    </row>
    <row r="26" spans="1:7">
      <c r="A26" t="str">
        <f t="shared" si="0"/>
        <v>0宁夏回族自治区</v>
      </c>
      <c r="B26" s="1" t="s">
        <v>79</v>
      </c>
      <c r="C26" s="1">
        <v>0</v>
      </c>
      <c r="D26" s="1">
        <v>0</v>
      </c>
      <c r="E26" s="1"/>
      <c r="F26" s="1">
        <v>0</v>
      </c>
      <c r="G26" s="1">
        <v>0</v>
      </c>
    </row>
    <row r="27" spans="1:7">
      <c r="A27" t="str">
        <f t="shared" si="0"/>
        <v>0新疆维吾尔自治区</v>
      </c>
      <c r="B27" s="1" t="s">
        <v>80</v>
      </c>
      <c r="C27" s="1">
        <v>0</v>
      </c>
      <c r="D27" s="1">
        <v>0</v>
      </c>
      <c r="E27" s="1"/>
      <c r="F27" s="1">
        <v>0</v>
      </c>
      <c r="G27" s="1">
        <v>0</v>
      </c>
    </row>
    <row r="28" spans="1:7">
      <c r="A28" t="str">
        <f t="shared" si="0"/>
        <v/>
      </c>
    </row>
    <row r="29" spans="1:7">
      <c r="A29" t="str">
        <f t="shared" si="0"/>
        <v/>
      </c>
    </row>
    <row r="30" spans="1:7">
      <c r="A30" t="str">
        <f t="shared" si="0"/>
        <v/>
      </c>
    </row>
    <row r="31" spans="1:7">
      <c r="A31" t="str">
        <f t="shared" si="0"/>
        <v/>
      </c>
    </row>
    <row r="32" spans="1:7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si="0"/>
        <v/>
      </c>
    </row>
    <row r="70" spans="1:1">
      <c r="A70" t="str">
        <f t="shared" ref="A70:A133" si="1">C70&amp;B70</f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si="1"/>
        <v/>
      </c>
    </row>
    <row r="134" spans="1:1">
      <c r="A134" t="str">
        <f t="shared" ref="A134:A148" si="2">C134&amp;B134</f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</sheetData>
  <autoFilter xmlns:etc="http://www.wps.cn/officeDocument/2017/etCustomData" ref="A4:H148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</vt:lpstr>
      <vt:lpstr>省份汇总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张姝</cp:lastModifiedBy>
  <dcterms:created xsi:type="dcterms:W3CDTF">2021-02-18T03:28:00Z</dcterms:created>
  <cp:lastPrinted>2024-11-14T03:06:00Z</cp:lastPrinted>
  <dcterms:modified xsi:type="dcterms:W3CDTF">2026-04-01T06:51:11Z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DE8EAED6E95044EF93BA7A9FCBDCD687_12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